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_unificado_originais" sheetId="1" r:id="rId5"/>
    <sheet state="visible" name="sem identação e linhas vazias" sheetId="2" r:id="rId6"/>
    <sheet state="visible" name="Página2" sheetId="3" r:id="rId7"/>
    <sheet state="visible" name="Página3" sheetId="4" r:id="rId8"/>
  </sheets>
  <definedNames>
    <definedName hidden="1" localSheetId="1" name="_xlnm._FilterDatabase">'sem identação e linhas vazias'!$A$1:$AB$105</definedName>
  </definedNames>
  <calcPr/>
</workbook>
</file>

<file path=xl/sharedStrings.xml><?xml version="1.0" encoding="utf-8"?>
<sst xmlns="http://schemas.openxmlformats.org/spreadsheetml/2006/main" count="1366" uniqueCount="754">
  <si>
    <t>arquivo</t>
  </si>
  <si>
    <t>caminho_relativo</t>
  </si>
  <si>
    <t>erro_parser</t>
  </si>
  <si>
    <t>erro_lint</t>
  </si>
  <si>
    <t>erros_parser_descricao</t>
  </si>
  <si>
    <t>quantidade_problemas_parser</t>
  </si>
  <si>
    <t>erros_lint_descricao</t>
  </si>
  <si>
    <t>quantidade_problemas_lint</t>
  </si>
  <si>
    <t>arquivo_parser</t>
  </si>
  <si>
    <t>arquivo_lint</t>
  </si>
  <si>
    <t>3scale_porta\activation_story_processado</t>
  </si>
  <si>
    <t>3scale_porta</t>
  </si>
  <si>
    <t>-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</si>
  <si>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11: Multiple empty lines are not allowed\nlinha 12: Multiple empty lines are not allowed\nlinha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19: Multiple empty lines are not allowed\nlinha 20: Multiple empty lines are not allowed\nlinha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28: Multiple empty lines are not allowed\nlinha 29: Multiple empty lines are not allowed\nlinha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36: Multiple empty lines are not allowed\nlinha 37: Multiple empty lines are not allowed</t>
  </si>
  <si>
    <t>3scale_porta\activation_story_processado.txt</t>
  </si>
  <si>
    <t>3scale_porta\activation_story_processado_relatorio.txt</t>
  </si>
  <si>
    <t>3scale_porta\cinstances_story_processado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</si>
  <si>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12: Step "When I fill in "Card number" with "1234"" should not appear after step using keyword then\nlinha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20: Multiple empty lines are not allowed\nlinha 21: Multiple empty lines are not allowed\nlinha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31: Multiple empty lines are not allowed\nlinha 32: Multiple empty lines are not allowed\nlinha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42: Multiple empty lines are not allowed\nlinha 43: Multiple empty lines are not allowed</t>
  </si>
  <si>
    <t>3scale_porta\cinstances_story_processado.txt</t>
  </si>
  <si>
    <t>3scale_porta\cinstances_story_processado_relatorio.txt</t>
  </si>
  <si>
    <t>3scale_porta\index_13_story_processado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</si>
  <si>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9: Multiple empty lines are not allowed\nlinha 10: Multiple empty lines are not allowed\nlinha 12: Wrong indentation for "Step", expected indentation level of 2, but got 4\nlinha 13: Wrong indentation for "Step", expected indentation level of 2, but got 4\nlinha 14: Wrong indentation for "Step", expected indentation level of 2, but got 4\nlinha 16: Multiple empty lines are not allowed\nlinha 17: Multiple empty lines are not allowed\nlinha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25: Multiple empty lines are not allowed\nlinha 26: Multiple empty lines are not allowed\nlinha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33: Step "When the table is filtered with:" should use And instead of When\nlinha 34: Wrong indentation for "Step", expected indentation level of 2, but got 4\nlinha 36: Multiple empty lines are not allowed\nlinha 37: Multiple empty lines are not allowed\nlinha 40: Wrong indentation for "Step", expected indentation level of 2, but got 4\nlinha 41: Wrong indentation for "Step", expected indentation level of 2, but got 4\nlinha 42: Wrong indentation for "Step", expected indentation level of 2, but got 4\nlinha 43: Wrong indentation for "Step", expected indentation level of 2, but got 4\nlinha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48: Wrong indentation for "Step", expected indentation level of 2, but got 4\nlinha 50: Multiple empty lines are not allowed\nlinha 51: Multiple empty lines are not allowed\nlinha 53: Wrong indentation for "Step", expected indentation level of 2, but got 4\nlinha 54: Wrong indentation for "Step", expected indentation level of 2, but got 4\nlinha 54: Step name is too long. Length of 74 is longer than the maximum allowed: 70\nlinha 55: Wrong indentation for "Step", expected indentation level of 2, but got 4\nlinha 56: Wrong indentation for "Step", expected indentation level of 2, but got 4\nlinha 57: Wrong indentation for "Step", expected indentation level of 2, but got 4\nlinha 59: Multiple empty lines are not allowed\nlinha 60: Multiple empty lines are not allowed\nlinha 62: Wrong indentation for "Step", expected indentation level of 2, but got 4\nlinha 63: Wrong indentation for "Step", expected indentation level of 2, but got 4\nlinha 64: Wrong indentation for "Step", expected indentation level of 2, but got 4\nlinha 65: Wrong indentation for "Step", expected indentation level of 2, but got 4\nlinha 66: Wrong indentation for "Step", expected indentation level of 2, but got 4\nlinha 67: Wrong indentation for "Step", expected indentation level of 2, but got 4\nlinha 68: Wrong indentation for "Step", expected indentation level of 2, but got 4\nlinha 69: Wrong indentation for "Step", expected indentation level of 2, but got 4\nlinha 69: Step "When the table is filtered with:" should not appear after step using keyword then\nlinha 70: Wrong indentation for "Step", expected indentation level of 2, but got 4\nlinha 72: Multiple empty lines are not allowed\nlinha 73: Multiple empty lines are not allowed\nlinha 76: Wrong indentation for "Step", expected indentation level of 2, but got 4\nlinha 77: Wrong indentation for "Step", expected indentation level of 2, but got 4\nlinha 77: Step name is too long. Length of 74 is longer than the maximum allowed: 70\nlinha 78: Wrong indentation for "Step", expected indentation level of 2, but got 4\nlinha 79: Wrong indentation for "Step", expected indentation level of 2, but got 4\nlinha 80: Wrong indentation for "Step", expected indentation level of 2, but got 4\nlinha 82: Multiple empty lines are not allowed\nlinha 83: Multiple empty lines are not allowed\nlinha 85: Wrong indentation for "Step", expected indentation level of 2, but got 4\nlinha 86: Wrong indentation for "Step", expected indentation level of 2, but got 4\nlinha 86: Step "Given a buyer "First"" should use And instead of Given\nlinha 87: Wrong indentation for "Step", expected indentation level of 2, but got 4\nlinha 88: Wrong indentation for "Step", expected indentation level of 2, but got 4\nlinha 89: Wrong indentation for "Step", expected indentation level of 2, but got 4\nlinha 90: Wrong indentation for "Step", expected indentation level of 2, but got 4\nlinha 91: Wrong indentation for "Step", expected indentation level of 2, but got 4\nlinha 92: Wrong indentation for "Step", expected indentation level of 2, but got 4\nlinha 92: Step "When the table is filtered with:" should use And instead of When\nlinha 93: Wrong indentation for "Step", expected indentation level of 2, but got 4\nlinha 94: Wrong indentation for "Step", expected indentation level of 2, but got 4\nlinha 96: Multiple empty lines are not allowed\nlinha 97: Multiple empty lines are not allowed\nlinha 100: Wrong indentation for "Step", expected indentation level of 2, but got 4\nlinha 101: Wrong indentation for "Step", expected indentation level of 2, but got 4\nlinha 102: Wrong indentation for "Step", expected indentation level of 2, but got 4\nlinha 102: Step name is too long. Length of 74 is longer than the maximum allowed: 70\nlinha 103: Wrong indentation for "Step", expected indentation level of 2, but got 4\nlinha 104: Wrong indentation for "Step", expected indentation level of 2, but got 4\nlinha 105: Wrong indentation for "Step", expected indentation level of 2, but got 4\nlinha 106: Wrong indentation for "Step", expected indentation level of 2, but got 4\nlinha 106: Step "Then the table should contain the following:" should use And instead of Then\nlinha 108: Multiple empty lines are not allowed\nlinha 109: Multiple empty lines are not allowed\nlinha 111: Wrong indentation for "Step", expected indentation level of 2, but got 4\nlinha 112: Wrong indentation for "Step", expected indentation level of 2, but got 4\nlinha 113: Wrong indentation for "Step", expected indentation level of 2, but got 4\nlinha 115: Multiple empty lines are not allowed\nlinha 116: Multiple empty lines are not allowed\nlinha 117: Multiple empty lines are not allowed</t>
  </si>
  <si>
    <t>3scale_porta\index_13_story_processado.txt</t>
  </si>
  <si>
    <t>3scale_porta\index_13_story_processado_relatorio.txt</t>
  </si>
  <si>
    <t>3scale_porta\update_story_processado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</si>
  <si>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"When they check only the following notifications:" should not appear after step using keyword then\nlinha 7: Wrong indentation for "Step", expected indentation level of 2, but got 4\nlinha 8: Wrong indentation for "Step", expected indentation level of 2, but got 4\nlinha 9: Wrong indentation for "Step", expected indentation level of 2, but got 4\nlinha 11: Multiple empty lines are not allowed\nlinha 12: Multiple empty lines are not allowed\nlinha 14: Wrong indentation for "Step", expected indentation level of 2, but got 4\nlinha 15: Wrong indentation for "Step", expected indentation level of 2, but got 4\nlinha 16: Wrong indentation for "Step", expected indentation level of 2, but got 4\nlinha 16: Step "When they disable all notifications" should not appear after step using keyword then\nlinha 17: Wrong indentation for "Step", expected indentation level of 2, but got 4\nlinha 18: Wrong indentation for "Step", expected indentation level of 2, but got 4\nlinha 19: Wrong indentation for "Step", expected indentation level of 2, but got 4\nlinha 21: Multiple empty lines are not allowed\nlinha 22: Multiple empty lines are not allowed</t>
  </si>
  <si>
    <t>3scale_porta\update_story_processado.txt</t>
  </si>
  <si>
    <t>3scale_porta\update_story_processado_relatorio.txt</t>
  </si>
  <si>
    <t>AgileVentures_LocalSupport\admin_promoting_site_story_processado</t>
  </si>
  <si>
    <t>AgileVentures_LocalSupport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</si>
  <si>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8: Multiple empty lines are not allowed\nlinha 9: Multiple empty lines are not allowed\nlinha 10: Multiple empty lines are not allowed</t>
  </si>
  <si>
    <t>AgileVentures_LocalSupport\admin_promoting_site_story_processado.txt</t>
  </si>
  <si>
    <t>AgileVentures_LocalSupport\admin_promoting_site_story_processado_relatorio.txt</t>
  </si>
  <si>
    <t>AgileVentures_LocalSupport\category_import_story_processado</t>
  </si>
  <si>
    <t>linha 3: Trailing spaces are not allowed\nlinha 3: Missing Scenario name\nlinha 4: Wrong indentation for "Step", expected indentation level of 2, but got 4\nlinha 6: Multiple empty lines are not allowed\nlinha 7: Multiple empty lines are not allowed</t>
  </si>
  <si>
    <t>AgileVentures_LocalSupport\category_import_story_processado.txt</t>
  </si>
  <si>
    <t>AgileVentures_LocalSupport\category_import_story_processado_relatorio.txt</t>
  </si>
  <si>
    <t>AgileVentures_LocalSupport\edit_donation_info_story_processado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</si>
  <si>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7: Step "Given I visit the edit page for the organisation named "Friendly"" should use And instead of Given\nlinha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12: Step name is too long. Length of 85 is longer than the maximum allowed: 70\nlinha 14: Multiple empty lines are not allowed\nlinha 15: Multiple empty lines are not allowed</t>
  </si>
  <si>
    <t>AgileVentures_LocalSupport\edit_donation_info_story_processado.txt</t>
  </si>
  <si>
    <t>AgileVentures_LocalSupport\edit_donation_info_story_processado_relatorio.txt</t>
  </si>
  <si>
    <t>AgileVentures_LocalSupport\edit_own_charity_profile_story_processado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</si>
  <si>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9: Multiple empty lines are not allowed\nlinha 10: Multiple empty lines are not allowed\nlinha 13: Wrong indentation for "Step", expected indentation level of 2, but got 4\nlinha 14: Wrong indentation for "Step", expected indentation level of 2, but got 4\nlinha 15: Wrong indentation for "Step", expected indentation level of 2, but got 4\nlinha 17: Multiple empty lines are not allowed\nlinha 18: Multiple empty lines are not allowed\nlinha 20: Wrong indentation for "Step", expected indentation level of 2, but got 4\nlinha 21: Wrong indentation for "Step", expected indentation level of 2, but got 4\nlinha 22: Wrong indentation for "Step", expected indentation level of 2, but got 4\nlinha 24: Multiple empty lines are not allowed\nlinha 25: Multiple empty lines are not allowed\nlinha 27: Wrong indentation for "Step", expected indentation level of 2, but got 4\nlinha 28: Wrong indentation for "Step", expected indentation level of 2, but got 4\nlinha 30: Multiple empty lines are not allowed\nlinha 31: Multiple empty lines are not allowed\nlinha 34: Wrong indentation for "Step", expected indentation level of 2, but got 4\nlinha 35: Wrong indentation for "Step", expected indentation level of 2, but got 4\nlinha 35: Step name is too long. Length of 84 is longer than the maximum allowed: 70\nlinha 36: Wrong indentation for "Step", expected indentation level of 2, but got 4\nlinha 37: Wrong indentation for "Step", expected indentation level of 2, but got 4\nlinha 37: Step "Then the address for "Friendly" should be "83 pinner road"" should use And instead of Then\nlinha 38: Wrong indentation for "Step", expected indentation level of 2, but got 4\nlinha 40: Multiple empty lines are not allowed\nlinha 41: Multiple empty lines are not allowed\nlinha 43: Wrong indentation for "Step", expected indentation level of 2, but got 4\nlinha 44: Wrong indentation for "Step", expected indentation level of 2, but got 4\nlinha 46: Multiple empty lines are not allowed\nlinha 47: Multiple empty lines are not allowed\nlinha 48: Scenario name is too long. Length of 75 is longer than the maximum allowed: 70\nlinha 49: Wrong indentation for "Step", expected indentation level of 2, but got 4\nlinha 50: Wrong indentation for "Step", expected indentation level of 2, but got 4\nlinha 50: Step name is too long. Length of 79 is longer than the maximum allowed: 70\nlinha 52: Multiple empty lines are not allowed\nlinha 53: Multiple empty lines are not allowed\nlinha 55: Wrong indentation for "Step", expected indentation level of 2, but got 4\nlinha 56: Wrong indentation for "Step", expected indentation level of 2, but got 4\nlinha 58: Multiple empty lines are not allowed\nlinha 59: Multiple empty lines are not allowed\nlinha 60: Scenario name is too long. Length of 78 is longer than the maximum allowed: 70\nlinha 61: Wrong indentation for "Step", expected indentation level of 2, but got 4\nlinha 62: Wrong indentation for "Step", expected indentation level of 2, but got 4\nlinha 64: Multiple empty lines are not allowed\nlinha 65: Multiple empty lines are not allowed\nlinha 67: Wrong indentation for "Step", expected indentation level of 2, but got 4\nlinha 68: Wrong indentation for "Step", expected indentation level of 2, but got 4\nlinha 70: Multiple empty lines are not allowed\nlinha 71: Multiple empty lines are not allowed\nlinha 72: Scenario name is too long. Length of 83 is longer than the maximum allowed: 70\nlinha 74: Wrong indentation for "Step", expected indentation level of 2, but got 4\nlinha 75: Wrong indentation for "Step", expected indentation level of 2, but got 4\nlinha 76: Wrong indentation for "Step", expected indentation level of 2, but got 4\nlinha 77: Wrong indentation for "Step", expected indentation level of 2, but got 4\nlinha 78: Wrong indentation for "Step", expected indentation level of 2, but got 4\nlinha 79: Wrong indentation for "Step", expected indentation level of 2, but got 4\nlinha 80: Wrong indentation for "Step", expected indentation level of 2, but got 4\nlinha 81: Wrong indentation for "Step", expected indentation level of 2, but got 4\nlinha 83: Multiple empty lines are not allowed\nlinha 84: Multiple empty lines are not allowed\nlinha 85: Multiple empty lines are not allowed\nlinha 86: Scenario name is too long. Length of 73 is longer than the maximum allowed: 70\nlinha 87: Wrong indentation for "Step", expected indentation level of 2, but got 4\nlinha 88: Wrong indentation for "Step", expected indentation level of 2, but got 4\nlinha 89: Wrong indentation for "Step", expected indentation level of 2, but got 4\nlinha 89: Step name is too long. Length of 81 is longer than the maximum allowed: 70\nlinha 91: Multiple empty lines are not allowed\nlinha 92: Multiple empty lines are not allowed\nlinha 93: Multiple empty lines are not allowed\nlinha 94: Scenario name is too long. Length of 79 is longer than the maximum allowed: 70\nlinha 95: Wrong indentation for "Step", expected indentation level of 2, but got 4\nlinha 96: Wrong indentation for "Step", expected indentation level of 2, but got 4\nlinha 97: Wrong indentation for "Step", expected indentation level of 2, but got 4\nlinha 99: Multiple empty lines are not allowed\nlinha 100: Multiple empty lines are not allowed\nlinha 101: Multiple empty lines are not allowed\nlinha 102: Scenario name is too long. Length of 80 is longer than the maximum allowed: 70\nlinha 104: Wrong indentation for "Step", expected indentation level of 2, but got 4\nlinha 105: Wrong indentation for "Step", expected indentation level of 2, but got 4\nlinha 106: Wrong indentation for "Step", expected indentation level of 2, but got 4\nlinha 107: Wrong indentation for "Step", expected indentation level of 2, but got 4\nlinha 108: Wrong indentation for "Step", expected indentation level of 2, but got 4\nlinha 109: Wrong indentation for "Step", expected indentation level of 2, but got 4\nlinha 109: Step "Then I should not see "Health" within "org-categories"" should use And instead of Then\nlinha 110: Wrong indentation for "Step", expected indentation level of 2, but got 4\nlinha 112: Multiple empty lines are not allowed\nlinha 113: Multiple empty lines are not allowed\nlinha 114: Multiple empty lines are not allowed</t>
  </si>
  <si>
    <t>AgileVentures_LocalSupport\edit_own_charity_profile_story_processado.txt</t>
  </si>
  <si>
    <t>AgileVentures_LocalSupport\edit_own_charity_profile_story_processado_relatorio.txt</t>
  </si>
  <si>
    <t>Cocolabs-SAS_cocorico\Breadcrumb_story_processado</t>
  </si>
  <si>
    <t>Cocolabs-SAS_cocorico</t>
  </si>
  <si>
    <t>linha 3: Element Scenario too long: actual 50, expected 15\nlinha 4: Wrong indentation for "Step", expected indentation level of 2, but got 4\nlinha 4: Step name is too long. Length of 72 is longer than the maximum allowed: 70\nlinha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9: Step "When I click on dashboard menu "Bookings" of "offerer"" should not appear after step using keyword then\nlinha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14: Step "When I click on dashboard menu "Listings" of "offerer"" should not appear after step using keyword then\nlinha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19: Step "When I click on dashboard menu "Payments" of "offerer"" should not appear after step using keyword then\nlinha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24: Step "When I click on dashboard menu "Comments" of "offerer"" should not appear after step using keyword then\nlinha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"When I click on the element with css selector ".form-radio span.jcf-unchecked"" should not appear after step using keyword then\nlinha 30: Step name is too long. Length of 73 is longer than the maximum allowed: 70\nlinha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36: Step "When I click on dashboard menu "Profile" of "offerer"" should not appear after step using keyword then\nlinha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4\nlinha 42: Step "When I follow "Payment information"" should not appear after step using keyword then\nlinha 43: Wrong indentation for "Step", expected indentation level of 2, but got 4\nlinha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48: Wrong indentation for "Step", expected indentation level of 2, but got 4\nlinha 48: Step "When I follow "Contact information"" should not appear after step using keyword then\nlinha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53: Wrong indentation for "Step", expected indentation level of 2, but got 4\nlinha 55: Multiple empty lines are not allowed\nlinha 56: Multiple empty lines are not allowed\nlinha 57: Element Scenario too long: actual 57, expected 15\nlinha 58: Wrong indentation for "Step", expected indentation level of 2, but got 4\nlinha 58: Step name is too long. Length of 72 is longer than the maximum allowed: 70\nlinha 59: Wrong indentation for "Step", expected indentation level of 2, but got 4\nlinha 60: Wrong indentation for "Step", expected indentation level of 2, but got 4\nlinha 61: Wrong indentation for "Step", expected indentation level of 2, but got 4\nlinha 62: Wrong indentation for "Step", expected indentation level of 2, but got 4\nlinha 62: Step "When I follow "Edit"" should not appear after step using keyword then\nlinha 63: Wrong indentation for "Step", expected indentation level of 2, but got 4\nlinha 64: Wrong indentation for "Step", expected indentation level of 2, but got 4\nlinha 65: Wrong indentation for "Step", expected indentation level of 2, but got 4\nlinha 66: Wrong indentation for "Step", expected indentation level of 2, but got 4\nlinha 67: Wrong indentation for "Step", expected indentation level of 2, but got 4\nlinha 68: Wrong indentation for "Step", expected indentation level of 2, but got 4\nlinha 69: Wrong indentation for "Step", expected indentation level of 2, but got 4\nlinha 69: Step "When I follow "Price &amp; conditions"" should not appear after step using keyword then\nlinha 70: Wrong indentation for "Step", expected indentation level of 2, but got 4\nlinha 71: Wrong indentation for "Step", expected indentation level of 2, but got 4\nlinha 72: Wrong indentation for "Step", expected indentation level of 2, but got 4\nlinha 73: Wrong indentation for "Step", expected indentation level of 2, but got 4\nlinha 74: Wrong indentation for "Step", expected indentation level of 2, but got 4\nlinha 75: Wrong indentation for "Step", expected indentation level of 2, but got 4\nlinha 76: Wrong indentation for "Step", expected indentation level of 2, but got 4\nlinha 76: Step "When I follow "Calendar"" should not appear after step using keyword then\nlinha 77: Wrong indentation for "Step", expected indentation level of 2, but got 4\nlinha 78: Wrong indentation for "Step", expected indentation level of 2, but got 4\nlinha 79: Wrong indentation for "Step", expected indentation level of 2, but got 4\nlinha 80: Wrong indentation for "Step", expected indentation level of 2, but got 4\nlinha 81: Wrong indentation for "Step", expected indentation level of 2, but got 4\nlinha 82: Wrong indentation for "Step", expected indentation level of 2, but got 4\nlinha 83: Wrong indentation for "Step", expected indentation level of 2, but got 4\nlinha 83: Step "When I follow "Photos"" should not appear after step using keyword then\nlinha 84: Wrong indentation for "Step", expected indentation level of 2, but got 4\nlinha 85: Wrong indentation for "Step", expected indentation level of 2, but got 4\nlinha 86: Wrong indentation for "Step", expected indentation level of 2, but got 4\nlinha 87: Wrong indentation for "Step", expected indentation level of 2, but got 4\nlinha 88: Wrong indentation for "Step", expected indentation level of 2, but got 4\nlinha 89: Wrong indentation for "Step", expected indentation level of 2, but got 4\nlinha 90: Wrong indentation for "Step", expected indentation level of 2, but got 4\nlinha 90: Step "When I follow "Characteristics"" should not appear after step using keyword then\nlinha 91: Wrong indentation for "Step", expected indentation level of 2, but got 4\nlinha 92: Wrong indentation for "Step", expected indentation level of 2, but got 4\nlinha 93: Wrong indentation for "Step", expected indentation level of 2, but got 4\nlinha 94: Wrong indentation for "Step", expected indentation level of 2, but got 4\nlinha 95: Wrong indentation for "Step", expected indentation level of 2, but got 4\nlinha 96: Wrong indentation for "Step", expected indentation level of 2, but got 4\nlinha 97: Wrong indentation for "Step", expected indentation level of 2, but got 4\nlinha 97: Step "When I follow "Various information"" should not appear after step using keyword then\nlinha 98: Wrong indentation for "Step", expected indentation level of 2, but got 4\nlinha 99: Wrong indentation for "Step", expected indentation level of 2, but got 4\nlinha 100: Wrong indentation for "Step", expected indentation level of 2, but got 4\nlinha 101: Wrong indentation for "Step", expected indentation level of 2, but got 4\nlinha 102: Wrong indentation for "Step", expected indentation level of 2, but got 4\nlinha 103: Wrong indentation for "Step", expected indentation level of 2, but got 4\nlinha 104: Wrong indentation for "Step", expected indentation level of 2, but got 4\nlinha 104: Step "When I click on dashboard menu "Listings" of "offerer"" should not appear after step using keyword then\nlinha 105: Wrong indentation for "Step", expected indentation level of 2, but got 4\nlinha 106: Wrong indentation for "Step", expected indentation level of 2, but got 4\nlinha 107: Wrong indentation for "Step", expected indentation level of 2, but got 4\nlinha 107: Step "When I follow "Show"" should not appear after step using keyword then\nlinha 108: Wrong indentation for "Step", expected indentation level of 2, but got 4\nlinha 109: Wrong indentation for "Step", expected indentation level of 2, but got 4\nlinha 110: Wrong indentation for "Step", expected indentation level of 2, but got 4\nlinha 111: Wrong indentation for "Step", expected indentation level of 2, but got 4\nlinha 112: Wrong indentation for "Step", expected indentation level of 2, but got 4\nlinha 113: Wrong indentation for "Step", expected indentation level of 2, but got 4\nlinha 114: Wrong indentation for "Step", expected indentation level of 2, but got 4\nlinha 116: Multiple empty lines are not allowed\nlinha 117: Multiple empty lines are not allowed\nlinha 118: Element Scenario too long: actual 50, expected 15\nlinha 119: Wrong indentation for "Step", expected indentation level of 2, but got 4\nlinha 120: Wrong indentation for "Step", expected indentation level of 2, but got 4\nlinha 121: Wrong indentation for "Step", expected indentation level of 2, but got 4\nlinha 122: Wrong indentation for "Step", expected indentation level of 2, but got 4\nlinha 123: Wrong indentation for "Step", expected indentation level of 2, but got 4\nlinha 124: Wrong indentation for "Step", expected indentation level of 2, but got 4\nlinha 125: Wrong indentation for "Step", expected indentation level of 2, but got 4\nlinha 125: Step "When I click on dashboard menu "Bookings" of "asker"" should not appear after step using keyword then\nlinha 126: Wrong indentation for "Step", expected indentation level of 2, but got 4\nlinha 127: Wrong indentation for "Step", expected indentation level of 2, but got 4\nlinha 128: Wrong indentation for "Step", expected indentation level of 2, but got 4\nlinha 129: Wrong indentation for "Step", expected indentation level of 2, but got 4\nlinha 130: Wrong indentation for "Step", expected indentation level of 2, but got 4\nlinha 130: Step "When I click on dashboard menu "Payments" of "asker"" should not appear after step using keyword then\nlinha 131: Wrong indentation for "Step", expected indentation level of 2, but got 4\nlinha 132: Wrong indentation for "Step", expected indentation level of 2, but got 4\nlinha 133: Wrong indentation for "Step", expected indentation level of 2, but got 4\nlinha 134: Wrong indentation for "Step", expected indentation level of 2, but got 4\nlinha 135: Wrong indentation for "Step", expected indentation level of 2, but got 4\nlinha 135: Step "When I click on the element with css selector ".form-radio span.jcf-unchecked"" should not appear after step using keyword then\nlinha 135: Step name is too long. Length of 73 is longer than the maximum allowed: 70\nlinha 136: Wrong indentation for "Step", expected indentation level of 2, but got 4\nlinha 137: Wrong indentation for "Step", expected indentation level of 2, but got 4\nlinha 138: Wrong indentation for "Step", expected indentation level of 2, but got 4\nlinha 139: Wrong indentation for "Step", expected indentation level of 2, but got 4\nlinha 140: Wrong indentation for "Step", expected indentation level of 2, but got 4\nlinha 140: Step "When I click on dashboard menu "Comments" of "asker"" should not appear after step using keyword then\nlinha 141: Wrong indentation for "Step", expected indentation level of 2, but got 4\nlinha 142: Wrong indentation for "Step", expected indentation level of 2, but got 4\nlinha 143: Wrong indentation for "Step", expected indentation level of 2, but got 4\nlinha 144: Wrong indentation for "Step", expected indentation level of 2, but got 4\nlinha 145: Wrong indentation for "Step", expected indentation level of 2, but got 4\nlinha 146: Wrong indentation for "Step", expected indentation level of 2, but got 4\nlinha 146: Step name is too long. Length of 73 is longer than the maximum allowed: 70\nlinha 147: Wrong indentation for "Step", expected indentation level of 2, but got 4\nlinha 148: Wrong indentation for "Step", expected indentation level of 2, but got 4\nlinha 149: Wrong indentation for "Step", expected indentation level of 2, but got 4\nlinha 150: Wrong indentation for "Step", expected indentation level of 2, but got 4\nlinha 151: Wrong indentation for "Step", expected indentation level of 2, but got 4\nlinha 151: Step "When I click on dashboard menu "Profile" of "asker"" should not appear after step using keyword then\nlinha 152: Wrong indentation for "Step", expected indentation level of 2, but got 4\nlinha 153: Wrong indentation for "Step", expected indentation level of 2, but got 4\nlinha 154: Wrong indentation for "Step", expected indentation level of 2, but got 4\nlinha 155: Wrong indentation for "Step", expected indentation level of 2, but got 4\nlinha 156: Wrong indentation for "Step", expected indentation level of 2, but got 4\nlinha 157: Wrong indentation for "Step", expected indentation level of 2, but got 4\nlinha 157: Step "When I follow "Payment information"" should not appear after step using keyword then\nlinha 158: Wrong indentation for "Step", expected indentation level of 2, but got 4\nlinha 159: Wrong indentation for "Step", expected indentation level of 2, but got 4\nlinha 160: Wrong indentation for "Step", expected indentation level of 2, but got 4\nlinha 161: Wrong indentation for "Step", expected indentation level of 2, but got 4\nlinha 162: Wrong indentation for "Step", expected indentation level of 2, but got 4\nlinha 163: Wrong indentation for "Step", expected indentation level of 2, but got 4\nlinha 163: Step "When I follow "Contact information"" should not appear after step using keyword then\nlinha 164: Wrong indentation for "Step", expected indentation level of 2, but got 4\nlinha 165: Wrong indentation for "Step", expected indentation level of 2, but got 4\nlinha 166: Wrong indentation for "Step", expected indentation level of 2, but got 4\nlinha 167: Wrong indentation for "Step", expected indentation level of 2, but got 4\nlinha 168: Wrong indentation for "Step", expected indentation level of 2, but got 4\nlinha 170: Multiple empty lines are not allowed\nlinha 171: Multiple empty lines are not allowed</t>
  </si>
  <si>
    <t>Cocolabs-SAS_cocorico\Breadcrumb_story_processado.txt</t>
  </si>
  <si>
    <t>Cocolabs-SAS_cocorico\Breadcrumb_story_processado_relatorio.txt</t>
  </si>
  <si>
    <t>Cocolabs-SAS_cocorico\ListingSearch_story_processado</t>
  </si>
  <si>
    <t>linha 3: Scenario name is too long. Length of 76 is longer than the maximum allowed: 70\nlinha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"When I fill date range with the following:" should not appear after step using keyword then\nlinha 8: Wrong indentation for "Step", expected indentation level of 2, but got 4\nlinha 8: Step name is too long. Length of 89 is longer than the maximum allowed: 70\nlinha 9: Wrong indentation for "Step", expected indentation level of 2, but got 4\nlinha 9: Step name is too long. Length of 72 is longer than the maximum allowed: 70\nlinha 10: Wrong indentation for "Step", expected indentation level of 2, but got 4\nlinha 11: Wrong indentation for "Step", expected indentation level of 2, but got 4\nlinha 12: Wrong indentation for "Step", expected indentation level of 2, but got 4\nlinha 14: Multiple empty lines are not allowed\nlinha 15: Multiple empty lines are not allowed\nlinha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"When I select categories "Category2_2"" should not appear after step using keyword then\nlinha 21: Wrong indentation for "Step", expected indentation level of 2, but got 4\nlinha 21: Step name is too long. Length of 72 is longer than the maximum allowed: 70\nlinha 22: Wrong indentation for "Step", expected indentation level of 2, but got 4\nlinha 23: Wrong indentation for "Step", expected indentation level of 2, but got 4\nlinha 24: Wrong indentation for "Step", expected indentation level of 2, but got 4\nlinha 26: Multiple empty lines are not allowed\nlinha 27: Multiple empty lines are not allowed\nlinha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32: Step "When I select a characteristic "Characteristic_3" with value "Custom value 2"" should not appear after step using keyword then\nlinha 32: Step name is too long. Length of 72 is longer than the maximum allowed: 70\nlinha 33: Wrong indentation for "Step", expected indentation level of 2, but got 4\nlinha 34: Wrong indentation for "Step", expected indentation level of 2, but got 4\nlinha 35: Wrong indentation for "Step", expected indentation level of 2, but got 4\nlinha 37: Multiple empty lines are not allowed\nlinha 38: Multiple empty lines are not allowed\nlinha 40: Wrong indentation for "Step", expected indentation level of 2, but got 4\nlinha 41: Wrong indentation for "Step", expected indentation level of 2, but got 4\nlinha 42: Wrong indentation for "Step", expected indentation level of 2, but got 4\nlinha 43: Wrong indentation for "Step", expected indentation level of 2, but got 4\nlinha 43: Step "When I fill date range with the following:" should not appear after step using keyword then\nlinha 44: Wrong indentation for "Step", expected indentation level of 2, but got 4\nlinha 44: Step name is too long. Length of 72 is longer than the maximum allowed: 70\nlinha 45: Wrong indentation for "Step", expected indentation level of 2, but got 4\nlinha 46: Wrong indentation for "Step", expected indentation level of 2, but got 4\nlinha 47: Wrong indentation for "Step", expected indentation level of 2, but got 4\nlinha 49: Multiple empty lines are not allowed\nlinha 50: Multiple empty lines are not allowed\nlinha 52: Wrong indentation for "Step", expected indentation level of 2, but got 4\nlinha 53: Wrong indentation for "Step", expected indentation level of 2, but got 4\nlinha 54: Wrong indentation for "Step", expected indentation level of 2, but got 4\nlinha 55: Wrong indentation for "Step", expected indentation level of 2, but got 4\nlinha 55: Step "When I fill date range with the following:" should not appear after step using keyword then\nlinha 56: Wrong indentation for "Step", expected indentation level of 2, but got 4\nlinha 56: Step name is too long. Length of 90 is longer than the maximum allowed: 70\nlinha 57: Wrong indentation for "Step", expected indentation level of 2, but got 4\nlinha 57: Step name is too long. Length of 72 is longer than the maximum allowed: 70\nlinha 58: Wrong indentation for "Step", expected indentation level of 2, but got 4\nlinha 59: Wrong indentation for "Step", expected indentation level of 2, but got 4\nlinha 60: Wrong indentation for "Step", expected indentation level of 2, but got 4\nlinha 62: Multiple empty lines are not allowed\nlinha 63: Multiple empty lines are not allowed</t>
  </si>
  <si>
    <t>Cocolabs-SAS_cocorico\ListingSearch_story_processado.txt</t>
  </si>
  <si>
    <t>Cocolabs-SAS_cocorico\ListingSearch_story_processado_relatorio.txt</t>
  </si>
  <si>
    <t>Cocolabs-SAS_cocorico\Message_story_processado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</si>
  <si>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11: Step name is too long. Length of 75 is longer than the maximum allowed: 70\nlinha 12: Wrong indentation for "Step", expected indentation level of 2, but got 4\nlinha 12: Step "When I wait 2000 ms" should not appear after step using keyword then\nlinha 13: Wrong indentation for "Step", expected indentation level of 2, but got 4\nlinha 13: Step name is too long. Length of 97 is longer than the maximum allowed: 70\nlinha 15: Multiple empty lines are not allowed\nlinha 16: Multiple empty lines are not allowed\nlinha 17: Scenario name is too long. Length of 79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22: Step "When I fill in the following:" should not appear after step using keyword then\nlinha 23: Wrong indentation for "Step", expected indentation level of 2, but got 4\nlinha 24: Wrong indentation for "Step", expected indentation level of 2, but got 4\nlinha 24: Step name is too long. Length of 83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29: Step name is too long. Length of 75 is longer than the maximum allowed: 70\nlinha 29: Step "Then I should be on the page which route name is "dashboard_message_thread_view"" should use And instead of Then\nlinha 30: Wrong indentation for "Step", expected indentation level of 2, but got 4\nlinha 30: Step "When I wait 2000 ms" should not appear after step using keyword then\nlinha 31: Wrong indentation for "Step", expected indentation level of 2, but got 4\nlinha 31: Step name is too long. Length of 97 is longer than the maximum allowed: 70\nlinha 33: Multiple empty lines are not allowed\nlinha 34: Multiple empty lines are not allowed\nlinha 35: Scenario name is too long. Length of 73 is longer than the maximum allowed: 70\nlinha 36: Wrong indentation for "Step", expected indentation level of 2, but got 4\nlinha 36: Step name is too long. Length of 91 is longer than the maximum allowed: 70\nlinha 37: Wrong indentation for "Step", expected indentation level of 2, but got 4\nlinha 37: Step name is too long. Length of 72 is longer than the maximum allowed: 70\nlinha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41: Step "When I follow "Reply"" should not appear after step using keyword then\nlinha 42: Wrong indentation for "Step", expected indentation level of 2, but got 4\nlinha 43: Wrong indentation for "Step", expected indentation level of 2, but got 4\nlinha 43: Step name is too long. Length of 76 is longer than the maximum allowed: 70\nlinha 45: Multiple empty lines are not allowed\nlinha 46: Multiple empty lines are not allowed\nlinha 48: Wrong indentation for "Step", expected indentation level of 2, but got 4\nlinha 48: Step name is too long. Length of 91 is longer than the maximum allowed: 70\nlinha 49: Wrong indentation for "Step", expected indentation level of 2, but got 4\nlinha 49: Step name is too long. Length of 72 is longer than the maximum allowed: 70\nlinha 50: Wrong indentation for "Step", expected indentation level of 2, but got 4\nlinha 51: Wrong indentation for "Step", expected indentation level of 2, but got 4\nlinha 52: Wrong indentation for "Step", expected indentation level of 2, but got 4\nlinha 53: Wrong indentation for "Step", expected indentation level of 2, but got 4\nlinha 53: Step "When I follow "Reply"" should not appear after step using keyword then\nlinha 54: Wrong indentation for "Step", expected indentation level of 2, but got 4\nlinha 55: Wrong indentation for "Step", expected indentation level of 2, but got 4\nlinha 56: Wrong indentation for "Step", expected indentation level of 2, but got 4\nlinha 56: Step name is too long. Length of 75 is longer than the maximum allowed: 70\nlinha 57: Wrong indentation for "Step", expected indentation level of 2, but got 4\nlinha 57: Step "When I wait 2000 ms" should not appear after step using keyword then\nlinha 58: Wrong indentation for "Step", expected indentation level of 2, but got 4\nlinha 58: Step name is too long. Length of 80 is longer than the maximum allowed: 70\nlinha 60: Multiple empty lines are not allowed\nlinha 61: Multiple empty lines are not allowed\nlinha 63: Wrong indentation for "Step", expected indentation level of 2, but got 4\nlinha 63: Step name is too long. Length of 91 is longer than the maximum allowed: 70\nlinha 64: Wrong indentation for "Step", expected indentation level of 2, but got 4\nlinha 64: Step name is too long. Length of 72 is longer than the maximum allowed: 70\nlinha 65: Wrong indentation for "Step", expected indentation level of 2, but got 4\nlinha 66: Wrong indentation for "Step", expected indentation level of 2, but got 4\nlinha 67: Wrong indentation for "Step", expected indentation level of 2, but got 4\nlinha 68: Wrong indentation for "Step", expected indentation level of 2, but got 4\nlinha 68: Step "When I follow "Delete"" should not appear after step using keyword then\nlinha 69: Wrong indentation for "Step", expected indentation level of 2, but got 4\nlinha 70: Wrong indentation for "Step", expected indentation level of 2, but got 4\nlinha 72: Multiple empty lines are not allowed\nlinha 73: Multiple empty lines are not allowed</t>
  </si>
  <si>
    <t>Cocolabs-SAS_cocorico\Message_story_processado.txt</t>
  </si>
  <si>
    <t>Cocolabs-SAS_cocorico\Message_story_processado_relatorio.txt</t>
  </si>
  <si>
    <t>Cocolabs-SAS_cocorico\Review_story_processado</t>
  </si>
  <si>
    <t>linha 4: Wrong indentation for "Step", expected indentation level of 2, but got 4\nlinha 4: Step name is too long. Length of 72 is longer than the maximum allowed: 70\nlinha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8: Step name is too long. Length of 75 is longer than the maximum allowed: 70\nlinha 9: Wrong indentation for "Step", expected indentation level of 2, but got 4\nlinha 9: Step "When I follow "Add your rating"" should not appear after step using keyword then\nlinha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17: Multiple empty lines are not allowed\nlinha 18: Multiple empty lines are not allowed\nlinha 19: Scenario name is too long. Length of 91 is longer than the maximum allowed: 70\nlinha 19: Element Scenario too long: actual 26, expected 15\nlinha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24: Step name is too long. Length of 75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27: Step "When I click on the element with css selector "#user-rating-make a"" should not appear after step using keyword then\nlinha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32: Step "When I do a search on the home page" should not appear after step using keyword then\nlinha 33: Wrong indentation for "Step", expected indentation level of 2, but got 4\nlinha 34: Wrong indentation for "Step", expected indentation level of 2, but got 4\nlinha 35: Wrong indentation for "Step", expected indentation level of 2, but got 4\nlinha 35: Step name is too long. Length of 83 is longer than the maximum allowed: 70\nlinha 36: Wrong indentation for "Step", expected indentation level of 2, but got 4\nlinha 36: Step "When I click on "#comments" tab" should not appear after step using keyword then\nlinha 37: Wrong indentation for "Step", expected indentation level of 2, but got 4\nlinha 38: Wrong indentation for "Step", expected indentation level of 2, but got 4\nlinha 38: Step name is too long. Length of 73 is longer than the maximum allowed: 70\nlinha 39: Wrong indentation for "Step", expected indentation level of 2, but got 4\nlinha 39: Step "When I follow "OffererFirstName"" should not appear after step using keyword then\nlinha 40: Wrong indentation for "Step", expected indentation level of 2, but got 4\nlinha 41: Wrong indentation for "Step", expected indentation level of 2, but got 4\nlinha 41: Step name is too long. Length of 91 is longer than the maximum allowed: 70\nlinha 42: Wrong indentation for "Step", expected indentation level of 2, but got 4\nlinha 43: Wrong indentation for "Step", expected indentation level of 2, but got 4\nlinha 44: Wrong indentation for "Step", expected indentation level of 2, but got 4\nlinha 45: Wrong indentation for "Step", expected indentation level of 2, but got 4\nlinha 45: Step name is too long. Length of 73 is longer than the maximum allowed: 70\nlinha 47: Multiple empty lines are not allowed\nlinha 48: Multiple empty lines are not allowed\nlinha 50: Wrong indentation for "Step", expected indentation level of 2, but got 4\nlinha 50: Step name is too long. Length of 72 is longer than the maximum allowed: 70\nlinha 51: Wrong indentation for "Step", expected indentation level of 2, but got 4\nlinha 52: Wrong indentation for "Step", expected indentation level of 2, but got 4\nlinha 53: Wrong indentation for "Step", expected indentation level of 2, but got 4\nlinha 54: Wrong indentation for "Step", expected indentation level of 2, but got 4\nlinha 54: Step name is too long. Length of 75 is longer than the maximum allowed: 70\nlinha 55: Wrong indentation for "Step", expected indentation level of 2, but got 4\nlinha 55: Step "When I follow "Add your rating"" should not appear after step using keyword then\nlinha 56: Wrong indentation for "Step", expected indentation level of 2, but got 4\nlinha 57: Wrong indentation for "Step", expected indentation level of 2, but got 4\nlinha 58: Wrong indentation for "Step", expected indentation level of 2, but got 4\nlinha 58: Step name is too long. Length of 76 is longer than the maximum allowed: 70\nlinha 60: Multiple empty lines are not allowed\nlinha 61: Multiple empty lines are not allowed</t>
  </si>
  <si>
    <t>Cocolabs-SAS_cocorico\Review_story_processado.txt</t>
  </si>
  <si>
    <t>Cocolabs-SAS_cocorico\Review_story_processado_relatorio.txt</t>
  </si>
  <si>
    <t>DataDog_datadog-api-client-typescript\dora_metrics_story_processado</t>
  </si>
  <si>
    <t>DataDog_datadog-api-client-typescript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</si>
  <si>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11: Multiple empty lines are not allowed\nlinha 12: Multiple empty lines are not allowed\nlinha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20: Multiple empty lines are not allowed\nlinha 21: Multiple empty lines are not allowed\nlinha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30: Multiple empty lines are not allowed\nlinha 31: Multiple empty lines are not allowed\nlinha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40: Multiple empty lines are not allowed\nlinha 41: Multiple empty lines are not allowed\nlinha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48: Wrong indentation for "Step", expected indentation level of 2, but got 4\nlinha 50: Multiple empty lines are not allowed\nlinha 51: Multiple empty lines are not allowed\nlinha 54: Wrong indentation for "Step", expected indentation level of 2, but got 4\nlinha 55: Wrong indentation for "Step", expected indentation level of 2, but got 4\nlinha 56: Wrong indentation for "Step", expected indentation level of 2, but got 4\nlinha 57: Wrong indentation for "Step", expected indentation level of 2, but got 4\nlinha 58: Wrong indentation for "Step", expected indentation level of 2, but got 4\nlinha 60: Multiple empty lines are not allowed\nlinha 61: Multiple empty lines are not allowed\nlinha 64: Wrong indentation for "Step", expected indentation level of 2, but got 4\nlinha 65: Wrong indentation for "Step", expected indentation level of 2, but got 4\nlinha 66: Wrong indentation for "Step", expected indentation level of 2, but got 4\nlinha 67: Wrong indentation for "Step", expected indentation level of 2, but got 4\nlinha 68: Wrong indentation for "Step", expected indentation level of 2, but got 4\nlinha 70: Multiple empty lines are not allowed\nlinha 71: Multiple empty lines are not allowed\nlinha 74: Wrong indentation for "Step", expected indentation level of 2, but got 4\nlinha 75: Wrong indentation for "Step", expected indentation level of 2, but got 4\nlinha 76: Wrong indentation for "Step", expected indentation level of 2, but got 4\nlinha 77: Wrong indentation for "Step", expected indentation level of 2, but got 4\nlinha 78: Wrong indentation for "Step", expected indentation level of 2, but got 4\nlinha 80: Multiple empty lines are not allowed\nlinha 81: Multiple empty lines are not allowed\nlinha 84: Wrong indentation for "Step", expected indentation level of 2, but got 4\nlinha 85: Wrong indentation for "Step", expected indentation level of 2, but got 4\nlinha 86: Wrong indentation for "Step", expected indentation level of 2, but got 4\nlinha 87: Wrong indentation for "Step", expected indentation level of 2, but got 4\nlinha 88: Wrong indentation for "Step", expected indentation level of 2, but got 4\nlinha 90: Multiple empty lines are not allowed\nlinha 91: Multiple empty lines are not allowed\nlinha 94: Wrong indentation for "Step", expected indentation level of 2, but got 4\nlinha 95: Wrong indentation for "Step", expected indentation level of 2, but got 4\nlinha 96: Wrong indentation for "Step", expected indentation level of 2, but got 4\nlinha 96: Step name is too long. Length of 157 is longer than the maximum allowed: 70\nlinha 97: Wrong indentation for "Step", expected indentation level of 2, but got 4\nlinha 98: Wrong indentation for "Step", expected indentation level of 2, but got 4\nlinha 100: Multiple empty lines are not allowed\nlinha 101: Multiple empty lines are not allowed\nlinha 104: Wrong indentation for "Step", expected indentation level of 2, but got 4\nlinha 105: Wrong indentation for "Step", expected indentation level of 2, but got 4\nlinha 106: Wrong indentation for "Step", expected indentation level of 2, but got 4\nlinha 107: Wrong indentation for "Step", expected indentation level of 2, but got 4\nlinha 108: Wrong indentation for "Step", expected indentation level of 2, but got 4\nlinha 110: Multiple empty lines are not allowed\nlinha 111: Multiple empty lines are not allowed\nlinha 114: Wrong indentation for "Step", expected indentation level of 2, but got 4\nlinha 115: Wrong indentation for "Step", expected indentation level of 2, but got 4\nlinha 116: Wrong indentation for "Step", expected indentation level of 2, but got 4\nlinha 116: Step name is too long. Length of 154 is longer than the maximum allowed: 70\nlinha 117: Wrong indentation for "Step", expected indentation level of 2, but got 4\nlinha 118: Wrong indentation for "Step", expected indentation level of 2, but got 4\nlinha 120: Multiple empty lines are not allowed\nlinha 121: Multiple empty lines are not allowed\nlinha 124: Wrong indentation for "Step", expected indentation level of 2, but got 4\nlinha 125: Wrong indentation for "Step", expected indentation level of 2, but got 4\nlinha 126: Wrong indentation for "Step", expected indentation level of 2, but got 4\nlinha 127: Wrong indentation for "Step", expected indentation level of 2, but got 4\nlinha 129: Multiple empty lines are not allowed\nlinha 130: Multiple empty lines are not allowed\nlinha 131: Scenario name is too long. Length of 75 is longer than the maximum allowed: 70\nlinha 133: Wrong indentation for "Step", expected indentation level of 2, but got 4\nlinha 134: Wrong indentation for "Step", expected indentation level of 2, but got 4\nlinha 134: Step name is too long. Length of 394 is longer than the maximum allowed: 70\nlinha 135: Wrong indentation for "Step", expected indentation level of 2, but got 4\nlinha 136: Wrong indentation for "Step", expected indentation level of 2, but got 4\nlinha 138: Multiple empty lines are not allowed\nlinha 139: Multiple empty lines are not allowed\nlinha 142: Wrong indentation for "Step", expected indentation level of 2, but got 4\nlinha 143: Wrong indentation for "Step", expected indentation level of 2, but got 4\nlinha 143: Step name is too long. Length of 297 is longer than the maximum allowed: 70\nlinha 144: Wrong indentation for "Step", expected indentation level of 2, but got 4\nlinha 145: Wrong indentation for "Step", expected indentation level of 2, but got 4\nlinha 147: Multiple empty lines are not allowed\nlinha 148: Multiple empty lines are not allowed\nlinha 151: Wrong indentation for "Step", expected indentation level of 2, but got 4\nlinha 152: Wrong indentation for "Step", expected indentation level of 2, but got 4\nlinha 153: Wrong indentation for "Step", expected indentation level of 2, but got 4\nlinha 154: Wrong indentation for "Step", expected indentation level of 2, but got 4\nlinha 156: Multiple empty lines are not allowed\nlinha 157: Multiple empty lines are not allowed\nlinha 158: Scenario name is too long. Length of 72 is longer than the maximum allowed: 70\nlinha 160: Wrong indentation for "Step", expected indentation level of 2, but got 4\nlinha 161: Wrong indentation for "Step", expected indentation level of 2, but got 4\nlinha 161: Step name is too long. Length of 468 is longer than the maximum allowed: 70\nlinha 162: Wrong indentation for "Step", expected indentation level of 2, but got 4\nlinha 163: Wrong indentation for "Step", expected indentation level of 2, but got 4\nlinha 165: Multiple empty lines are not allowed\nlinha 166: Multiple empty lines are not allowed\nlinha 169: Wrong indentation for "Step", expected indentation level of 2, but got 4\nlinha 170: Wrong indentation for "Step", expected indentation level of 2, but got 4\nlinha 170: Step name is too long. Length of 389 is longer than the maximum allowed: 70\nlinha 171: Wrong indentation for "Step", expected indentation level of 2, but got 4\nlinha 172: Wrong indentation for "Step", expected indentation level of 2, but got 4\nlinha 174: Multiple empty lines are not allowed\nlinha 175: Multiple empty lines are not allowed\nlinha 178: Wrong indentation for "Step", expected indentation level of 2, but got 4\nlinha 179: Wrong indentation for "Step", expected indentation level of 2, but got 4\nlinha 179: Step name is too long. Length of 468 is longer than the maximum allowed: 70\nlinha 180: Wrong indentation for "Step", expected indentation level of 2, but got 4\nlinha 181: Wrong indentation for "Step", expected indentation level of 2, but got 4\nlinha 183: Multiple empty lines are not allowed\nlinha 184: Multiple empty lines are not allowed\nlinha 185: Scenario name is too long. Length of 74 is longer than the maximum allowed: 70\nlinha 187: Wrong indentation for "Step", expected indentation level of 2, but got 4\nlinha 188: Wrong indentation for "Step", expected indentation level of 2, but got 4\nlinha 188: Step name is too long. Length of 468 is longer than the maximum allowed: 70\nlinha 189: Wrong indentation for "Step", expected indentation level of 2, but got 4\nlinha 190: Wrong indentation for "Step", expected indentation level of 2, but got 4\nlinha 192: Multiple empty lines are not allowed\nlinha 193: Multiple empty lines are not allowed\nlinha 196: Wrong indentation for "Step", expected indentation level of 2, but got 4\nlinha 197: Wrong indentation for "Step", expected indentation level of 2, but got 4\nlinha 197: Step name is too long. Length of 468 is longer than the maximum allowed: 70\nlinha 198: Wrong indentation for "Step", expected indentation level of 2, but got 4\nlinha 199: Wrong indentation for "Step", expected indentation level of 2, but got 4\nlinha 201: Multiple empty lines are not allowed\nlinha 202: Multiple empty lines are not allowed</t>
  </si>
  <si>
    <t>DataDog_datadog-api-client-typescript\dora_metrics_story_processado.txt</t>
  </si>
  <si>
    <t>DataDog_datadog-api-client-typescript\dora_metrics_story_processado_relatorio.txt</t>
  </si>
  <si>
    <t>DataDog_datadog-api-client-typescript\gcp_integration_1_story_processado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</si>
  <si>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9: Multiple empty lines are not allowed\nlinha 10: Multiple empty lines are not allowed\nlinha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18: Multiple empty lines are not allowed\nlinha 19: Multiple empty lines are not allowed\nlinha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28: Multiple empty lines are not allowed\nlinha 29: Multiple empty lines are not allowed\nlinha 30: Scenario name is too long. Length of 74 is longer than the maximum allowed: 70\nlinha 32: Wrong indentation for "Step", expected indentation level of 2, but got 4\nlinha 33: Wrong indentation for "Step", expected indentation level of 2, but got 4\nlinha 33: Step name is too long. Length of 599 is longer than the maximum allowed: 70\nlinha 34: Wrong indentation for "Step", expected indentation level of 2, but got 4\nlinha 35: Wrong indentation for "Step", expected indentation level of 2, but got 4\nlinha 37: Multiple empty lines are not allowed\nlinha 38: Multiple empty lines are not allowed\nlinha 39: Scenario name is too long. Length of 71 is longer than the maximum allowed: 70\nlinha 41: Wrong indentation for "Step", expected indentation level of 2, but got 4\nlinha 42: Wrong indentation for "Step", expected indentation level of 2, but got 4\nlinha 42: Step name is too long. Length of 599 is longer than the maximum allowed: 70\nlinha 43: Wrong indentation for "Step", expected indentation level of 2, but got 4\nlinha 44: Wrong indentation for "Step", expected indentation level of 2, but got 4\nlinha 46: Multiple empty lines are not allowed\nlinha 47: Multiple empty lines are not allowed\nlinha 50: Wrong indentation for "Step", expected indentation level of 2, but got 4\nlinha 51: Wrong indentation for "Step", expected indentation level of 2, but got 4\nlinha 51: Step name is too long. Length of 172 is longer than the maximum allowed: 70\nlinha 52: Wrong indentation for "Step", expected indentation level of 2, but got 4\nlinha 53: Wrong indentation for "Step", expected indentation level of 2, but got 4\nlinha 54: Wrong indentation for "Step", expected indentation level of 2, but got 4\nlinha 55: Wrong indentation for "Step", expected indentation level of 2, but got 4\nlinha 55: Step name is too long. Length of 117 is longer than the maximum allowed: 70\nlinha 57: Multiple empty lines are not allowed\nlinha 58: Multiple empty lines are not allowed\nlinha 59: Scenario name is too long. Length of 83 is longer than the maximum allowed: 70\nlinha 61: Wrong indentation for "Step", expected indentation level of 2, but got 4\nlinha 62: Wrong indentation for "Step", expected indentation level of 2, but got 4\nlinha 62: Step name is too long. Length of 208 is longer than the maximum allowed: 70\nlinha 63: Wrong indentation for "Step", expected indentation level of 2, but got 4\nlinha 64: Wrong indentation for "Step", expected indentation level of 2, but got 4\nlinha 65: Wrong indentation for "Step", expected indentation level of 2, but got 4\nlinha 66: Wrong indentation for "Step", expected indentation level of 2, but got 4\nlinha 66: Step name is too long. Length of 117 is longer than the maximum allowed: 70\nlinha 67: Wrong indentation for "Step", expected indentation level of 2, but got 4\nlinha 67: Step name is too long. Length of 74 is longer than the maximum allowed: 70\nlinha 69: Multiple empty lines are not allowed\nlinha 70: Multiple empty lines are not allowed\nlinha 71: Scenario name is too long. Length of 105 is longer than the maximum allowed: 70\nlinha 73: Wrong indentation for "Step", expected indentation level of 2, but got 4\nlinha 74: Wrong indentation for "Step", expected indentation level of 2, but got 4\nlinha 74: Step name is too long. Length of 216 is longer than the maximum allowed: 70\nlinha 75: Wrong indentation for "Step", expected indentation level of 2, but got 4\nlinha 76: Wrong indentation for "Step", expected indentation level of 2, but got 4\nlinha 77: Wrong indentation for "Step", expected indentation level of 2, but got 4\nlinha 78: Wrong indentation for "Step", expected indentation level of 2, but got 4\nlinha 78: Step name is too long. Length of 117 is longer than the maximum allowed: 70\nlinha 79: Wrong indentation for "Step", expected indentation level of 2, but got 4\nlinha 79: Step name is too long. Length of 82 is longer than the maximum allowed: 70\nlinha 81: Multiple empty lines are not allowed\nlinha 82: Multiple empty lines are not allowed\nlinha 83: Scenario name is too long. Length of 83 is longer than the maximum allowed: 70\nlinha 85: Wrong indentation for "Step", expected indentation level of 2, but got 4\nlinha 86: Wrong indentation for "Step", expected indentation level of 2, but got 4\nlinha 86: Step name is too long. Length of 234 is longer than the maximum allowed: 70\nlinha 87: Wrong indentation for "Step", expected indentation level of 2, but got 4\nlinha 88: Wrong indentation for "Step", expected indentation level of 2, but got 4\nlinha 89: Wrong indentation for "Step", expected indentation level of 2, but got 4\nlinha 90: Wrong indentation for "Step", expected indentation level of 2, but got 4\nlinha 90: Step name is too long. Length of 117 is longer than the maximum allowed: 70\nlinha 91: Wrong indentation for "Step", expected indentation level of 2, but got 4\nlinha 93: Multiple empty lines are not allowed\nlinha 94: Multiple empty lines are not allowed\nlinha 95: Scenario name is too long. Length of 133 is longer than the maximum allowed: 70\nlinha 97: Wrong indentation for "Step", expected indentation level of 2, but got 4\nlinha 98: Wrong indentation for "Step", expected indentation level of 2, but got 4\nlinha 98: Step name is too long. Length of 235 is longer than the maximum allowed: 70\nlinha 99: Wrong indentation for "Step", expected indentation level of 2, but got 4\nlinha 100: Wrong indentation for "Step", expected indentation level of 2, but got 4\nlinha 102: Multiple empty lines are not allowed\nlinha 103: Multiple empty lines are not allowed\nlinha 104: Scenario name is too long. Length of 98 is longer than the maximum allowed: 70\nlinha 106: Wrong indentation for "Step", expected indentation level of 2, but got 4\nlinha 107: Wrong indentation for "Step", expected indentation level of 2, but got 4\nlinha 107: Step name is too long. Length of 209 is longer than the maximum allowed: 70\nlinha 108: Wrong indentation for "Step", expected indentation level of 2, but got 4\nlinha 109: Wrong indentation for "Step", expected indentation level of 2, but got 4\nlinha 110: Wrong indentation for "Step", expected indentation level of 2, but got 4\nlinha 111: Wrong indentation for "Step", expected indentation level of 2, but got 4\nlinha 111: Step name is too long. Length of 117 is longer than the maximum allowed: 70\nlinha 112: Wrong indentation for "Step", expected indentation level of 2, but got 4\nlinha 112: Step name is too long. Length of 75 is longer than the maximum allowed: 70\nlinha 114: Multiple empty lines are not allowed\nlinha 115: Multiple empty lines are not allowed\nlinha 116: Scenario name is too long. Length of 102 is longer than the maximum allowed: 70\nlinha 118: Wrong indentation for "Step", expected indentation level of 2, but got 4\nlinha 119: Wrong indentation for "Step", expected indentation level of 2, but got 4\nlinha 119: Step name is too long. Length of 263 is longer than the maximum allowed: 70\nlinha 120: Wrong indentation for "Step", expected indentation level of 2, but got 4\nlinha 121: Wrong indentation for "Step", expected indentation level of 2, but got 4\nlinha 122: Wrong indentation for "Step", expected indentation level of 2, but got 4\nlinha 123: Wrong indentation for "Step", expected indentation level of 2, but got 4\nlinha 123: Step name is too long. Length of 117 is longer than the maximum allowed: 70\nlinha 124: Wrong indentation for "Step", expected indentation level of 2, but got 4\nlinha 124: Step name is too long. Length of 82 is longer than the maximum allowed: 70\nlinha 125: Wrong indentation for "Step", expected indentation level of 2, but got 4\nlinha 125: Step name is too long. Length of 85 is longer than the maximum allowed: 70\nlinha 127: Multiple empty lines are not allowed\nlinha 128: Multiple empty lines are not allowed\nlinha 131: Wrong indentation for "Step", expected indentation level of 2, but got 4\nlinha 132: Wrong indentation for "Step", expected indentation level of 2, but got 4\nlinha 133: Wrong indentation for "Step", expected indentation level of 2, but got 4\nlinha 134: Wrong indentation for "Step", expected indentation level of 2, but got 4\nlinha 136: Multiple empty lines are not allowed\nlinha 137: Multiple empty lines are not allowed\nlinha 140: Wrong indentation for "Step", expected indentation level of 2, but got 4\nlinha 141: Wrong indentation for "Step", expected indentation level of 2, but got 4\nlinha 142: Wrong indentation for "Step", expected indentation level of 2, but got 4\nlinha 143: Wrong indentation for "Step", expected indentation level of 2, but got 4\nlinha 145: Multiple empty lines are not allowed\nlinha 146: Multiple empty lines are not allowed\nlinha 149: Wrong indentation for "Step", expected indentation level of 2, but got 4\nlinha 150: Wrong indentation for "Step", expected indentation level of 2, but got 4\nlinha 151: Wrong indentation for "Step", expected indentation level of 2, but got 4\nlinha 153: Multiple empty lines are not allowed\nlinha 154: Multiple empty lines are not allowed\nlinha 157: Wrong indentation for "Step", expected indentation level of 2, but got 4\nlinha 158: Wrong indentation for "Step", expected indentation level of 2, but got 4\nlinha 159: Wrong indentation for "Step", expected indentation level of 2, but got 4\nlinha 160: Wrong indentation for "Step", expected indentation level of 2, but got 4\nlinha 161: Wrong indentation for "Step", expected indentation level of 2, but got 4\nlinha 161: Step name is too long. Length of 79 is longer than the maximum allowed: 70\nlinha 163: Multiple empty lines are not allowed\nlinha 164: Multiple empty lines are not allowed\nlinha 167: Wrong indentation for "Step", expected indentation level of 2, but got 4\nlinha 168: Wrong indentation for "Step", expected indentation level of 2, but got 4\nlinha 169: Wrong indentation for "Step", expected indentation level of 2, but got 4\nlinha 170: Wrong indentation for "Step", expected indentation level of 2, but got 4\nlinha 172: Multiple empty lines are not allowed\nlinha 173: Multiple empty lines are not allowed\nlinha 176: Wrong indentation for "Step", expected indentation level of 2, but got 4\nlinha 177: Wrong indentation for "Step", expected indentation level of 2, but got 4\nlinha 178: Wrong indentation for "Step", expected indentation level of 2, but got 4\nlinha 178: Step name is too long. Length of 645 is longer than the maximum allowed: 70\nlinha 179: Wrong indentation for "Step", expected indentation level of 2, but got 4\nlinha 180: Wrong indentation for "Step", expected indentation level of 2, but got 4\nlinha 182: Multiple empty lines are not allowed\nlinha 183: Multiple empty lines are not allowed\nlinha 186: Wrong indentation for "Step", expected indentation level of 2, but got 4\nlinha 187: Wrong indentation for "Step", expected indentation level of 2, but got 4\nlinha 188: Wrong indentation for "Step", expected indentation level of 2, but got 4\nlinha 188: Step name is too long. Length of 645 is longer than the maximum allowed: 70\nlinha 189: Wrong indentation for "Step", expected indentation level of 2, but got 4\nlinha 190: Wrong indentation for "Step", expected indentation level of 2, but got 4\nlinha 192: Multiple empty lines are not allowed\nlinha 193: Multiple empty lines are not allowed\nlinha 196: Wrong indentation for "Step", expected indentation level of 2, but got 4\nlinha 197: Wrong indentation for "Step", expected indentation level of 2, but got 4\nlinha 198: Wrong indentation for "Step", expected indentation level of 2, but got 4\nlinha 199: Wrong indentation for "Step", expected indentation level of 2, but got 4\nlinha 199: Step name is too long. Length of 195 is longer than the maximum allowed: 70\nlinha 200: Wrong indentation for "Step", expected indentation level of 2, but got 4\nlinha 201: Wrong indentation for "Step", expected indentation level of 2, but got 4\nlinha 203: Multiple empty lines are not allowed\nlinha 204: Multiple empty lines are not allowed\nlinha 205: Scenario name is too long. Length of 80 is longer than the maximum allowed: 70\nlinha 207: Wrong indentation for "Step", expected indentation level of 2, but got 4\nlinha 208: Wrong indentation for "Step", expected indentation level of 2, but got 4\nlinha 209: Wrong indentation for "Step", expected indentation level of 2, but got 4\nlinha 210: Wrong indentation for "Step", expected indentation level of 2, but got 4\nlinha 210: Step name is too long. Length of 211 is longer than the maximum allowed: 70\nlinha 211: Wrong indentation for "Step", expected indentation level of 2, but got 4\nlinha 212: Wrong indentation for "Step", expected indentation level of 2, but got 4\nlinha 214: Multiple empty lines are not allowed\nlinha 215: Multiple empty lines are not allowed\nlinha 216: Scenario name is too long. Length of 90 is longer than the maximum allowed: 70\nlinha 218: Wrong indentation for "Step", expected indentation level of 2, but got 4\nlinha 219: Wrong indentation for "Step", expected indentation level of 2, but got 4\nlinha 220: Wrong indentation for "Step", expected indentation level of 2, but got 4\nlinha 221: Wrong indentation for "Step", expected indentation level of 2, but got 4\nlinha 221: Step name is too long. Length of 203 is longer than the maximum allowed: 70\nlinha 222: Wrong indentation for "Step", expected indentation level of 2, but got 4\nlinha 223: Wrong indentation for "Step", expected indentation level of 2, but got 4\nlinha 225: Multiple empty lines are not allowed\nlinha 226: Multiple empty lines are not allowed</t>
  </si>
  <si>
    <t>DataDog_datadog-api-client-typescript\gcp_integration_1_story_processado.txt</t>
  </si>
  <si>
    <t>DataDog_datadog-api-client-typescript\gcp_integration_1_story_processado_relatorio.txt</t>
  </si>
  <si>
    <t>DataDog_datadog-api-client-typescript\logs_custom_destinations_story_processado</t>
  </si>
  <si>
    <t>linha 3: Element Scenario too long: actual 19, expected 15\nlinha 5: Wrong indentation for "Step", expected indentation level of 2, but got 4\nlinha 6: Wrong indentation for "Step", expected indentation level of 2, but got 4\nlinha 6: Step name is too long. Length of 476 is longer than the maximum allowed: 70\nlinha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name is too long. Length of 76 is longer than the maximum allowed: 70\nlinha 14: Wrong indentation for "Step", expected indentation level of 2, but got 4\nlinha 14: Step name is too long. Length of 95 is longer than the maximum allowed: 70\nlinha 15: Wrong indentation for "Step", expected indentation level of 2, but got 4\nlinha 15: Step name is too long. Length of 82 is longer than the maximum allowed: 70\nlinha 16: Wrong indentation for "Step", expected indentation level of 2, but got 4\nlinha 16: Step name is too long. Length of 88 is longer than the maximum allowed: 70\nlinha 17: Wrong indentation for "Step", expected indentation level of 2, but got 4\nlinha 17: Step name is too long. Length of 88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73 is longer than the maximum allowed: 70\nlinha 21: Wrong indentation for "Step", expected indentation level of 2, but got 4\nlinha 21: Step name is too long. Length of 94 is longer than the maximum allowed: 70\nlinha 22: Wrong indentation for "Step", expected indentation level of 2, but got 4\nlinha 22: Step name is too long. Length of 88 is longer than the maximum allowed: 70\nlinha 23: Wrong indentation for "Step", expected indentation level of 2, but got 4\nlinha 23: Step name is too long. Length of 90 is longer than the maximum allowed: 70\nlinha 25: Multiple empty lines are not allowed\nlinha 26: Multiple empty lines are not allowed\nlinha 27: Element Scenario too long: actual 19, expected 15\nlinha 29: Wrong indentation for "Step", expected indentation level of 2, but got 4\nlinha 30: Wrong indentation for "Step", expected indentation level of 2, but got 4\nlinha 30: Step name is too long. Length of 454 is longer than the maximum allowed: 70\nlinha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37: Step name is too long. Length of 76 is longer than the maximum allowed: 70\nlinha 38: Wrong indentation for "Step", expected indentation level of 2, but got 4\nlinha 38: Step name is too long. Length of 95 is longer than the maximum allowed: 70\nlinha 39: Wrong indentation for "Step", expected indentation level of 2, but got 4\nlinha 39: Step name is too long. Length of 90 is longer than the maximum allowed: 70\nlinha 40: Wrong indentation for "Step", expected indentation level of 2, but got 4\nlinha 40: Step name is too long. Length of 108 is longer than the maximum allowed: 70\nlinha 41: Wrong indentation for "Step", expected indentation level of 2, but got 4\nlinha 41: Step name is too long. Length of 92 is longer than the maximum allowed: 70\nlinha 42: Wrong indentation for "Step", expected indentation level of 2, but got 4\nlinha 43: Wrong indentation for "Step", expected indentation level of 2, but got 4\nlinha 44: Wrong indentation for "Step", expected indentation level of 2, but got 4\nlinha 44: Step name is too long. Length of 73 is longer than the maximum allowed: 70\nlinha 45: Wrong indentation for "Step", expected indentation level of 2, but got 4\nlinha 45: Step name is too long. Length of 94 is longer than the maximum allowed: 70\nlinha 46: Wrong indentation for "Step", expected indentation level of 2, but got 4\nlinha 46: Step name is too long. Length of 88 is longer than the maximum allowed: 70\nlinha 47: Wrong indentation for "Step", expected indentation level of 2, but got 4\nlinha 47: Step name is too long. Length of 90 is longer than the maximum allowed: 70\nlinha 49: Multiple empty lines are not allowed\nlinha 50: Multiple empty lines are not allowed\nlinha 51: Element Scenario too long: actual 20, expected 15\nlinha 53: Wrong indentation for "Step", expected indentation level of 2, but got 4\nlinha 54: Wrong indentation for "Step", expected indentation level of 2, but got 4\nlinha 54: Step name is too long. Length of 617 is longer than the maximum allowed: 70\nlinha 55: Wrong indentation for "Step", expected indentation level of 2, but got 4\nlinha 56: Wrong indentation for "Step", expected indentation level of 2, but got 4\nlinha 57: Wrong indentation for "Step", expected indentation level of 2, but got 4\nlinha 58: Wrong indentation for "Step", expected indentation level of 2, but got 4\nlinha 59: Wrong indentation for "Step", expected indentation level of 2, but got 4\nlinha 60: Wrong indentation for "Step", expected indentation level of 2, but got 4\nlinha 61: Wrong indentation for "Step", expected indentation level of 2, but got 4\nlinha 61: Step name is too long. Length of 90 is longer than the maximum allowed: 70\nlinha 62: Wrong indentation for "Step", expected indentation level of 2, but got 4\nlinha 62: Step name is too long. Length of 113 is longer than the maximum allowed: 70\nlinha 63: Wrong indentation for "Step", expected indentation level of 2, but got 4\nlinha 63: Step name is too long. Length of 113 is longer than the maximum allowed: 70\nlinha 64: Wrong indentation for "Step", expected indentation level of 2, but got 4\nlinha 64: Step name is too long. Length of 145 is longer than the maximum allowed: 70\nlinha 65: Wrong indentation for "Step", expected indentation level of 2, but got 4\nlinha 65: Step name is too long. Length of 127 is longer than the maximum allowed: 70\nlinha 66: Wrong indentation for "Step", expected indentation level of 2, but got 4\nlinha 66: Step name is too long. Length of 93 is longer than the maximum allowed: 70\nlinha 67: Wrong indentation for "Step", expected indentation level of 2, but got 4\nlinha 68: Wrong indentation for "Step", expected indentation level of 2, but got 4\nlinha 69: Wrong indentation for "Step", expected indentation level of 2, but got 4\nlinha 69: Step name is too long. Length of 73 is longer than the maximum allowed: 70\nlinha 70: Wrong indentation for "Step", expected indentation level of 2, but got 4\nlinha 70: Step name is too long. Length of 94 is longer than the maximum allowed: 70\nlinha 71: Wrong indentation for "Step", expected indentation level of 2, but got 4\nlinha 71: Step name is too long. Length of 88 is longer than the maximum allowed: 70\nlinha 72: Wrong indentation for "Step", expected indentation level of 2, but got 4\nlinha 72: Step name is too long. Length of 90 is longer than the maximum allowed: 70\nlinha 74: Multiple empty lines are not allowed\nlinha 75: Multiple empty lines are not allowed\nlinha 76: Element Scenario too long: actual 17, expected 15\nlinha 78: Wrong indentation for "Step", expected indentation level of 2, but got 4\nlinha 79: Wrong indentation for "Step", expected indentation level of 2, but got 4\nlinha 79: Step name is too long. Length of 388 is longer than the maximum allowed: 70\nlinha 80: Wrong indentation for "Step", expected indentation level of 2, but got 4\nlinha 81: Wrong indentation for "Step", expected indentation level of 2, but got 4\nlinha 82: Wrong indentation for "Step", expected indentation level of 2, but got 4\nlinha 83: Wrong indentation for "Step", expected indentation level of 2, but got 4\nlinha 84: Wrong indentation for "Step", expected indentation level of 2, but got 4\nlinha 85: Wrong indentation for "Step", expected indentation level of 2, but got 4\nlinha 86: Wrong indentation for "Step", expected indentation level of 2, but got 4\nlinha 86: Step name is too long. Length of 82 is longer than the maximum allowed: 70\nlinha 87: Wrong indentation for "Step", expected indentation level of 2, but got 4\nlinha 87: Step name is too long. Length of 95 is longer than the maximum allowed: 70\nlinha 88: Wrong indentation for "Step", expected indentation level of 2, but got 4\nlinha 88: Step name is too long. Length of 87 is longer than the maximum allowed: 70\nlinha 89: Wrong indentation for "Step", expected indentation level of 2, but got 4\nlinha 90: Wrong indentation for "Step", expected indentation level of 2, but got 4\nlinha 91: Wrong indentation for "Step", expected indentation level of 2, but got 4\nlinha 91: Step name is too long. Length of 73 is longer than the maximum allowed: 70\nlinha 92: Wrong indentation for "Step", expected indentation level of 2, but got 4\nlinha 92: Step name is too long. Length of 94 is longer than the maximum allowed: 70\nlinha 93: Wrong indentation for "Step", expected indentation level of 2, but got 4\nlinha 93: Step name is too long. Length of 88 is longer than the maximum allowed: 70\nlinha 94: Wrong indentation for "Step", expected indentation level of 2, but got 4\nlinha 94: Step name is too long. Length of 90 is longer than the maximum allowed: 70\nlinha 96: Multiple empty lines are not allowed\nlinha 97: Multiple empty lines are not allowed\nlinha 100: Wrong indentation for "Step", expected indentation level of 2, but got 4\nlinha 101: Wrong indentation for "Step", expected indentation level of 2, but got 4\nlinha 101: Step name is too long. Length of 94 is longer than the maximum allowed: 70\nlinha 102: Wrong indentation for "Step", expected indentation level of 2, but got 4\nlinha 103: Wrong indentation for "Step", expected indentation level of 2, but got 4\nlinha 105: Multiple empty lines are not allowed\nlinha 106: Multiple empty lines are not allowed\nlinha 109: Wrong indentation for "Step", expected indentation level of 2, but got 4\nlinha 110: Wrong indentation for "Step", expected indentation level of 2, but got 4\nlinha 110: Step name is too long. Length of 474 is longer than the maximum allowed: 70\nlinha 111: Wrong indentation for "Step", expected indentation level of 2, but got 4\nlinha 112: Wrong indentation for "Step", expected indentation level of 2, but got 4\nlinha 114: Multiple empty lines are not allowed\nlinha 115: Multiple empty lines are not allowed\nlinha 118: Wrong indentation for "Step", expected indentation level of 2, but got 4\nlinha 119: Wrong indentation for "Step", expected indentation level of 2, but got 4\nlinha 119: Step name is too long. Length of 474 is longer than the maximum allowed: 70\nlinha 120: Wrong indentation for "Step", expected indentation level of 2, but got 4\nlinha 121: Wrong indentation for "Step", expected indentation level of 2, but got 4\nlinha 123: Multiple empty lines are not allowed\nlinha 124: Multiple empty lines are not allowed\nlinha 125: Element Scenario too long: actual 20, expected 15\nlinha 127: Wrong indentation for "Step", expected indentation level of 2, but got 4\nlinha 128: Wrong indentation for "Step", expected indentation level of 2, but got 4\nlinha 128: Step name is too long. Length of 480 is longer than the maximum allowed: 70\nlinha 129: Wrong indentation for "Step", expected indentation level of 2, but got 4\nlinha 130: Wrong indentation for "Step", expected indentation level of 2, but got 4\nlinha 131: Wrong indentation for "Step", expected indentation level of 2, but got 4\nlinha 132: Wrong indentation for "Step", expected indentation level of 2, but got 4\nlinha 133: Wrong indentation for "Step", expected indentation level of 2, but got 4\nlinha 134: Wrong indentation for "Step", expected indentation level of 2, but got 4\nlinha 135: Wrong indentation for "Step", expected indentation level of 2, but got 4\nlinha 135: Step name is too long. Length of 85 is longer than the maximum allowed: 70\nlinha 136: Wrong indentation for "Step", expected indentation level of 2, but got 4\nlinha 136: Step name is too long. Length of 95 is longer than the maximum allowed: 70\nlinha 137: Wrong indentation for "Step", expected indentation level of 2, but got 4\nlinha 137: Step name is too long. Length of 88 is longer than the maximum allowed: 70\nlinha 138: Wrong indentation for "Step", expected indentation level of 2, but got 4\nlinha 138: Step name is too long. Length of 92 is longer than the maximum allowed: 70\nlinha 139: Wrong indentation for "Step", expected indentation level of 2, but got 4\nlinha 139: Step name is too long. Length of 88 is longer than the maximum allowed: 70\nlinha 140: Wrong indentation for "Step", expected indentation level of 2, but got 4\nlinha 140: Step name is too long. Length of 88 is longer than the maximum allowed: 70\nlinha 141: Wrong indentation for "Step", expected indentation level of 2, but got 4\nlinha 142: Wrong indentation for "Step", expected indentation level of 2, but got 4\nlinha 143: Wrong indentation for "Step", expected indentation level of 2, but got 4\nlinha 143: Step name is too long. Length of 73 is longer than the maximum allowed: 70\nlinha 144: Wrong indentation for "Step", expected indentation level of 2, but got 4\nlinha 144: Step name is too long. Length of 94 is longer than the maximum allowed: 70\nlinha 145: Wrong indentation for "Step", expected indentation level of 2, but got 4\nlinha 145: Step name is too long. Length of 88 is longer than the maximum allowed: 70\nlinha 146: Wrong indentation for "Step", expected indentation level of 2, but got 4\nlinha 146: Step name is too long. Length of 90 is longer than the maximum allowed: 70\nlinha 148: Multiple empty lines are not allowed\nlinha 149: Multiple empty lines are not allowed\nlinha 152: Wrong indentation for "Step", expected indentation level of 2, but got 4\nlinha 153: Wrong indentation for "Step", expected indentation level of 2, but got 4\nlinha 154: Wrong indentation for "Step", expected indentation level of 2, but got 4\nlinha 155: Wrong indentation for "Step", expected indentation level of 2, but got 4\nlinha 157: Multiple empty lines are not allowed\nlinha 158: Multiple empty lines are not allowed\nlinha 161: Wrong indentation for "Step", expected indentation level of 2, but got 4\nlinha 162: Wrong indentation for "Step", expected indentation level of 2, but got 4\nlinha 162: Step name is too long. Length of 78 is longer than the maximum allowed: 70\nlinha 163: Wrong indentation for "Step", expected indentation level of 2, but got 4\nlinha 164: Wrong indentation for "Step", expected indentation level of 2, but got 4\nlinha 166: Multiple empty lines are not allowed\nlinha 167: Multiple empty lines are not allowed\nlinha 170: Wrong indentation for "Step", expected indentation level of 2, but got 4\nlinha 171: Wrong indentation for "Step", expected indentation level of 2, but got 4\nlinha 172: Wrong indentation for "Step", expected indentation level of 2, but got 4\nlinha 172: Step name is too long. Length of 84 is longer than the maximum allowed: 70\nlinha 173: Wrong indentation for "Step", expected indentation level of 2, but got 4\nlinha 174: Wrong indentation for "Step", expected indentation level of 2, but got 4\nlinha 176: Multiple empty lines are not allowed\nlinha 177: Multiple empty lines are not allowed\nlinha 180: Wrong indentation for "Step", expected indentation level of 2, but got 4\nlinha 181: Wrong indentation for "Step", expected indentation level of 2, but got 4\nlinha 182: Wrong indentation for "Step", expected indentation level of 2, but got 4\nlinha 183: Wrong indentation for "Step", expected indentation level of 2, but got 4\nlinha 185: Multiple empty lines are not allowed\nlinha 186: Multiple empty lines are not allowed\nlinha 189: Wrong indentation for "Step", expected indentation level of 2, but got 4\nlinha 190: Wrong indentation for "Step", expected indentation level of 2, but got 4\nlinha 190: Step name is too long. Length of 78 is longer than the maximum allowed: 70\nlinha 191: Wrong indentation for "Step", expected indentation level of 2, but got 4\nlinha 192: Wrong indentation for "Step", expected indentation level of 2, but got 4\nlinha 194: Multiple empty lines are not allowed\nlinha 195: Multiple empty lines are not allowed\nlinha 196: Element Scenario too long: actual 19, expected 15\nlinha 198: Wrong indentation for "Step", expected indentation level of 2, but got 4\nlinha 199: Wrong indentation for "Step", expected indentation level of 2, but got 4\nlinha 200: Wrong indentation for "Step", expected indentation level of 2, but got 4\nlinha 200: Step name is too long. Length of 84 is longer than the maximum allowed: 70\nlinha 201: Wrong indentation for "Step", expected indentation level of 2, but got 4\nlinha 202: Wrong indentation for "Step", expected indentation level of 2, but got 4\nlinha 203: Wrong indentation for "Step", expected indentation level of 2, but got 4\nlinha 204: Wrong indentation for "Step", expected indentation level of 2, but got 4\nlinha 205: Wrong indentation for "Step", expected indentation level of 2, but got 4\nlinha 205: Step name is too long. Length of 95 is longer than the maximum allowed: 70\nlinha 206: Wrong indentation for "Step", expected indentation level of 2, but got 4\nlinha 206: Step name is too long. Length of 97 is longer than the maximum allowed: 70\nlinha 207: Wrong indentation for "Step", expected indentation level of 2, but got 4\nlinha 207: Step name is too long. Length of 139 is longer than the maximum allowed: 70\nlinha 208: Wrong indentation for "Step", expected indentation level of 2, but got 4\nlinha 208: Step name is too long. Length of 147 is longer than the maximum allowed: 70\nlinha 209: Wrong indentation for "Step", expected indentation level of 2, but got 4\nlinha 209: Step name is too long. Length of 149 is longer than the maximum allowed: 70\nlinha 210: Wrong indentation for "Step", expected indentation level of 2, but got 4\nlinha 210: Step name is too long. Length of 88 is longer than the maximum allowed: 70\nlinha 211: Wrong indentation for "Step", expected indentation level of 2, but got 4\nlinha 211: Step name is too long. Length of 88 is longer than the maximum allowed: 70\nlinha 212: Wrong indentation for "Step", expected indentation level of 2, but got 4\nlinha 213: Wrong indentation for "Step", expected indentation level of 2, but got 4\nlinha 214: Wrong indentation for "Step", expected indentation level of 2, but got 4\nlinha 214: Step name is too long. Length of 73 is longer than the maximum allowed: 70\nlinha 215: Wrong indentation for "Step", expected indentation level of 2, but got 4\nlinha 215: Step name is too long. Length of 88 is longer than the maximum allowed: 70\nlinha 216: Wrong indentation for "Step", expected indentation level of 2, but got 4\nlinha 216: Step name is too long. Length of 155 is longer than the maximum allowed: 70\nlinha 218: Multiple empty lines are not allowed\nlinha 219: Multiple empty lines are not allowed\nlinha 222: Wrong indentation for "Step", expected indentation level of 2, but got 4\nlinha 223: Wrong indentation for "Step", expected indentation level of 2, but got 4\nlinha 224: Wrong indentation for "Step", expected indentation level of 2, but got 4\nlinha 225: Wrong indentation for "Step", expected indentation level of 2, but got 4\nlinha 226: Wrong indentation for "Step", expected indentation level of 2, but got 4\nlinha 226: Step name is too long. Length of 78 is longer than the maximum allowed: 70\nlinha 227: Wrong indentation for "Step", expected indentation level of 2, but got 4\nlinha 227: Step name is too long. Length of 90 is longer than the maximum allowed: 70\nlinha 228: Wrong indentation for "Step", expected indentation level of 2, but got 4\nlinha 228: Step name is too long. Length of 116 is longer than the maximum allowed: 70\nlinha 229: Wrong indentation for "Step", expected indentation level of 2, but got 4\nlinha 229: Step name is too long. Length of 118 is longer than the maximum allowed: 70\nlinha 230: Wrong indentation for "Step", expected indentation level of 2, but got 4\nlinha 230: Step name is too long. Length of 160 is longer than the maximum allowed: 70\nlinha 231: Wrong indentation for "Step", expected indentation level of 2, but got 4\nlinha 231: Step name is too long. Length of 168 is longer than the maximum allowed: 70\nlinha 232: Wrong indentation for "Step", expected indentation level of 2, but got 4\nlinha 232: Step name is too long. Length of 170 is longer than the maximum allowed: 70\nlinha 233: Wrong indentation for "Step", expected indentation level of 2, but got 4\nlinha 233: Step name is too long. Length of 77 is longer than the maximum allowed: 70\nlinha 234: Wrong indentation for "Step", expected indentation level of 2, but got 4\nlinha 234: Step name is too long. Length of 82 is longer than the maximum allowed: 70\nlinha 235: Wrong indentation for "Step", expected indentation level of 2, but got 4\nlinha 235: Step name is too long. Length of 176 is longer than the maximum allowed: 70\nlinha 237: Multiple empty lines are not allowed\nlinha 238: Multiple empty lines are not allowed\nlinha 241: Wrong indentation for "Step", expected indentation level of 2, but got 4\nlinha 242: Wrong indentation for "Step", expected indentation level of 2, but got 4\nlinha 243: Wrong indentation for "Step", expected indentation level of 2, but got 4\nlinha 243: Step name is too long. Length of 84 is longer than the maximum allowed: 70\nlinha 244: Wrong indentation for "Step", expected indentation level of 2, but got 4\nlinha 244: Step name is too long. Length of 186 is longer than the maximum allowed: 70\nlinha 245: Wrong indentation for "Step", expected indentation level of 2, but got 4\nlinha 246: Wrong indentation for "Step", expected indentation level of 2, but got 4\nlinha 248: Multiple empty lines are not allowed\nlinha 249: Multiple empty lines are not allowed\nlinha 252: Wrong indentation for "Step", expected indentation level of 2, but got 4\nlinha 253: Wrong indentation for "Step", expected indentation level of 2, but got 4\nlinha 254: Wrong indentation for "Step", expected indentation level of 2, but got 4\nlinha 254: Step name is too long. Length of 476 is longer than the maximum allowed: 70\nlinha 255: Wrong indentation for "Step", expected indentation level of 2, but got 4\nlinha 256: Wrong indentation for "Step", expected indentation level of 2, but got 4\nlinha 258: Multiple empty lines are not allowed\nlinha 259: Multiple empty lines are not allowed\nlinha 262: Wrong indentation for "Step", expected indentation level of 2, but got 4\nlinha 263: Wrong indentation for "Step", expected indentation level of 2, but got 4\nlinha 263: Step name is too long. Length of 103 is longer than the maximum allowed: 70\nlinha 264: Wrong indentation for "Step", expected indentation level of 2, but got 4\nlinha 264: Step name is too long. Length of 526 is longer than the maximum allowed: 70\nlinha 265: Wrong indentation for "Step", expected indentation level of 2, but got 4\nlinha 266: Wrong indentation for "Step", expected indentation level of 2, but got 4\nlinha 268: Multiple empty lines are not allowed\nlinha 269: Multiple empty lines are not allowed\nlinha 270: Element Scenario too long: actual 20, expected 15\nlinha 272: Wrong indentation for "Step", expected indentation level of 2, but got 4\nlinha 273: Wrong indentation for "Step", expected indentation level of 2, but got 4\nlinha 274: Wrong indentation for "Step", expected indentation level of 2, but got 4\nlinha 274: Step name is too long. Length of 84 is longer than the maximum allowed: 70\nlinha 275: Wrong indentation for "Step", expected indentation level of 2, but got 4\nlinha 275: Step name is too long. Length of 261 is longer than the maximum allowed: 70\nlinha 276: Wrong indentation for "Step", expected indentation level of 2, but got 4\nlinha 277: Wrong indentation for "Step", expected indentation level of 2, but got 4\nlinha 278: Wrong indentation for "Step", expected indentation level of 2, but got 4\nlinha 279: Wrong indentation for "Step", expected indentation level of 2, but got 4\nlinha 280: Wrong indentation for "Step", expected indentation level of 2, but got 4\nlinha 281: Wrong indentation for "Step", expected indentation level of 2, but got 4\nlinha 281: Step name is too long. Length of 97 is longer than the maximum allowed: 70\nlinha 282: Wrong indentation for "Step", expected indentation level of 2, but got 4\nlinha 282: Step name is too long. Length of 139 is longer than the maximum allowed: 70\nlinha 283: Wrong indentation for "Step", expected indentation level of 2, but got 4\nlinha 283: Step name is too long. Length of 147 is longer than the maximum allowed: 70\nlinha 284: Wrong indentation for "Step", expected indentation level of 2, but got 4\nlinha 284: Step name is too long. Length of 149 is longer than the maximum allowed: 70\nlinha 285: Wrong indentation for "Step", expected indentation level of 2, but got 4\nlinha 285: Step name is too long. Length of 88 is longer than the maximum allowed: 70\nlinha 286: Wrong indentation for "Step", expected indentation level of 2, but got 4\nlinha 286: Step name is too long. Length of 88 is longer than the maximum allowed: 70\nlinha 287: Wrong indentation for "Step", expected indentation level of 2, but got 4\nlinha 288: Wrong indentation for "Step", expected indentation level of 2, but got 4\nlinha 289: Wrong indentation for "Step", expected indentation level of 2, but got 4\nlinha 289: Step name is too long. Length of 73 is longer than the maximum allowed: 70\nlinha 290: Wrong indentation for "Step", expected indentation level of 2, but got 4\nlinha 290: Step name is too long. Length of 88 is longer than the maximum allowed: 70\nlinha 291: Wrong indentation for "Step", expected indentation level of 2, but got 4\nlinha 291: Step name is too long. Length of 155 is longer than the maximum allowed: 70\nlinha 293: Multiple empty lines are not allowed\nlinha 294: Multiple empty lines are not allowed</t>
  </si>
  <si>
    <t>DataDog_datadog-api-client-typescript\logs_custom_destinations_story_processado.txt</t>
  </si>
  <si>
    <t>DataDog_datadog-api-client-typescript\logs_custom_destinations_story_processado_relatorio.txt</t>
  </si>
  <si>
    <t>DataDog_datadog-api-client-typescript\service_level_objectives_1_story_processado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</si>
  <si>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196 is longer than the maximum allowed: 70\nlinha 8: Wrong indentation for "Step", expected indentation level of 2, but got 4\nlinha 9: Wrong indentation for "Step", expected indentation level of 2, but got 4\nlinha 11: Multiple empty lines are not allowed\nlinha 12: Multiple empty lines are not allowed\nlinha 15: Wrong indentation for "Step", expected indentation level of 2, but got 4\nlinha 16: Wrong indentation for "Step", expected indentation level of 2, but got 4\nlinha 17: Wrong indentation for "Step", expected indentation level of 2, but got 4\nlinha 17: Step name is too long. Length of 223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22: Multiple empty lines are not allowed\nlinha 23: Multiple empty lines are not allowed\nlinha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32: Multiple empty lines are not allowed\nlinha 33: Multiple empty lines are not allowed\nlinha 36: Wrong indentation for "Step", expected indentation level of 2, but got 4\nlinha 37: Wrong indentation for "Step", expected indentation level of 2, but got 4\nlinha 38: Wrong indentation for "Step", expected indentation level of 2, but got 4\nlinha 38: Step name is too long. Length of 88 is longer than the maximum allowed: 70\nlinha 39: Wrong indentation for "Step", expected indentation level of 2, but got 4\nlinha 40: Wrong indentation for "Step", expected indentation level of 2, but got 4\nlinha 42: Multiple empty lines are not allowed\nlinha 43: Multiple empty lines are not allowed\nlinha 46: Wrong indentation for "Step", expected indentation level of 2, but got 4\nlinha 47: Wrong indentation for "Step", expected indentation level of 2, but got 4\nlinha 48: Wrong indentation for "Step", expected indentation level of 2, but got 4\nlinha 48: Step name is too long. Length of 88 is longer than the maximum allowed: 70\nlinha 49: Wrong indentation for "Step", expected indentation level of 2, but got 4\nlinha 50: Wrong indentation for "Step", expected indentation level of 2, but got 4\nlinha 52: Multiple empty lines are not allowed\nlinha 53: Multiple empty lines are not allowed\nlinha 56: Wrong indentation for "Step", expected indentation level of 2, but got 4\nlinha 57: Wrong indentation for "Step", expected indentation level of 2, but got 4\nlinha 58: Wrong indentation for "Step", expected indentation level of 2, but got 4\nlinha 59: Wrong indentation for "Step", expected indentation level of 2, but got 4\nlinha 60: Wrong indentation for "Step", expected indentation level of 2, but got 4\nlinha 62: Multiple empty lines are not allowed\nlinha 63: Multiple empty lines are not allowed\nlinha 66: Wrong indentation for "Step", expected indentation level of 2, but got 4\nlinha 67: Wrong indentation for "Step", expected indentation level of 2, but got 4\nlinha 68: Wrong indentation for "Step", expected indentation level of 2, but got 4\nlinha 68: Step name is too long. Length of 88 is longer than the maximum allowed: 70\nlinha 69: Wrong indentation for "Step", expected indentation level of 2, but got 4\nlinha 70: Wrong indentation for "Step", expected indentation level of 2, but got 4\nlinha 72: Multiple empty lines are not allowed\nlinha 73: Multiple empty lines are not allowed\nlinha 76: Wrong indentation for "Step", expected indentation level of 2, but got 4\nlinha 77: Wrong indentation for "Step", expected indentation level of 2, but got 4\nlinha 78: Wrong indentation for "Step", expected indentation level of 2, but got 4\nlinha 79: Wrong indentation for "Step", expected indentation level of 2, but got 4\nlinha 80: Wrong indentation for "Step", expected indentation level of 2, but got 4\nlinha 81: Wrong indentation for "Step", expected indentation level of 2, but got 4\nlinha 82: Wrong indentation for "Step", expected indentation level of 2, but got 4\nlinha 84: Multiple empty lines are not allowed\nlinha 85: Multiple empty lines are not allowed</t>
  </si>
  <si>
    <t>DataDog_datadog-api-client-typescript\service_level_objectives_1_story_processado.txt</t>
  </si>
  <si>
    <t>DataDog_datadog-api-client-typescript\service_level_objectives_1_story_processado_relatorio.txt</t>
  </si>
  <si>
    <t>FinAegis_core-banking-prototype-laravel\basket_management_story_processado</t>
  </si>
  <si>
    <t>FinAegis_core-banking-prototype-laravel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</si>
  <si>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8: Multiple empty lines are not allowed\nlinha 9: Multiple empty lines are not allowed\nlinha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21: Multiple empty lines are not allowed\nlinha 22: Multiple empty lines are not allowed\nlinha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33: Multiple empty lines are not allowed\nlinha 34: Multiple empty lines are not allowed\nlinha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43: Multiple empty lines are not allowed\nlinha 44: Multiple empty lines are not allowed</t>
  </si>
  <si>
    <t>FinAegis_core-banking-prototype-laravel\basket_management_story_processado.txt</t>
  </si>
  <si>
    <t>FinAegis_core-banking-prototype-laravel\basket_management_story_processado_relatorio.txt</t>
  </si>
  <si>
    <t>FinAegis_core-banking-prototype-laravel\batch_processing_story_processado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</si>
  <si>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12: Multiple empty lines are not allowed\nlinha 13: Multiple empty lines are not allowed\nlinha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22: Multiple empty lines are not allowed\nlinha 23: Multiple empty lines are not allowed\nlinha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33: Multiple empty lines are not allowed\nlinha 34: Multiple empty lines are not allowed\nlinha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4\nlinha 44: Multiple empty lines are not allowed\nlinha 45: Multiple empty lines are not allowed\nlinha 47: Wrong indentation for "Step", expected indentation level of 2, but got 4\nlinha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54: Multiple empty lines are not allowed\nlinha 55: Multiple empty lines are not allowed\nlinha 57: Wrong indentation for "Step", expected indentation level of 2, but got 4\nlinha 58: Wrong indentation for "Step", expected indentation level of 2, but got 4\nlinha 59: Wrong indentation for "Step", expected indentation level of 2, but got 4\nlinha 61: Multiple empty lines are not allowed\nlinha 62: Multiple empty lines are not allowed\nlinha 64: Wrong indentation for "Step", expected indentation level of 2, but got 4\nlinha 65: Wrong indentation for "Step", expected indentation level of 2, but got 4\nlinha 66: Wrong indentation for "Step", expected indentation level of 2, but got 4\nlinha 67: Wrong indentation for "Step", expected indentation level of 2, but got 4\nlinha 68: Wrong indentation for "Step", expected indentation level of 2, but got 4\nlinha 69: Wrong indentation for "Step", expected indentation level of 2, but got 4\nlinha 71: Multiple empty lines are not allowed\nlinha 72: Multiple empty lines are not allowed\nlinha 74: Wrong indentation for "Step", expected indentation level of 2, but got 4\nlinha 75: Wrong indentation for "Step", expected indentation level of 2, but got 4\nlinha 76: Wrong indentation for "Step", expected indentation level of 2, but got 4\nlinha 77: Wrong indentation for "Step", expected indentation level of 2, but got 4\nlinha 78: Wrong indentation for "Step", expected indentation level of 2, but got 4\nlinha 79: Wrong indentation for "Step", expected indentation level of 2, but got 4\nlinha 81: Multiple empty lines are not allowed\nlinha 82: Multiple empty lines are not allowed\nlinha 84: Wrong indentation for "Step", expected indentation level of 2, but got 4\nlinha 85: Wrong indentation for "Step", expected indentation level of 2, but got 4\nlinha 86: Wrong indentation for "Step", expected indentation level of 2, but got 4\nlinha 87: Wrong indentation for "Step", expected indentation level of 2, but got 4\nlinha 88: Wrong indentation for "Step", expected indentation level of 2, but got 4\nlinha 89: Wrong indentation for "Step", expected indentation level of 2, but got 4\nlinha 91: Multiple empty lines are not allowed\nlinha 92: Multiple empty lines are not allowed\nlinha 94: Wrong indentation for "Step", expected indentation level of 2, but got 4\nlinha 95: Wrong indentation for "Step", expected indentation level of 2, but got 4\nlinha 96: Wrong indentation for "Step", expected indentation level of 2, but got 4\nlinha 97: Wrong indentation for "Step", expected indentation level of 2, but got 4\nlinha 98: Wrong indentation for "Step", expected indentation level of 2, but got 4\nlinha 99: Wrong indentation for "Step", expected indentation level of 2, but got 4\nlinha 101: Multiple empty lines are not allowed\nlinha 102: Multiple empty lines are not allowed</t>
  </si>
  <si>
    <t>FinAegis_core-banking-prototype-laravel\batch_processing_story_processado.txt</t>
  </si>
  <si>
    <t>FinAegis_core-banking-prototype-laravel\batch_processing_story_processado_relatorio.txt</t>
  </si>
  <si>
    <t>FinAegis_core-banking-prototype-laravel\financial_institutions_application_story_processado</t>
  </si>
  <si>
    <t>linha 1: Feature name is too long. Length of 51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12: Multiple empty lines are not allowed\nlinha 13: Multiple empty lines are not allowed\nlinha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81 is longer than the maximum allowed: 70\nlinha 21: Wrong indentation for "Step", expected indentation level of 2, but got 4\nlinha 21: Step name is too long. Length of 84 is longer than the maximum allowed: 70\nlinha 22: Wrong indentation for "Step", expected indentation level of 2, but got 4\nlinha 23: Wrong indentation for "Step", expected indentation level of 2, but got 4\nlinha 23: Step name is too long. Length of 73 is longer than the maximum allowed: 70\nlinha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29: Multiple empty lines are not allowed\nlinha 30: Multiple empty lines are not allowed\nlinha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37: Multiple empty lines are not allowed\nlinha 38: Multiple empty lines are not allowed\nlinha 40: Wrong indentation for "Step", expected indentation level of 2, but got 4\nlinha 41: Wrong indentation for "Step", expected indentation level of 2, but got 4\nlinha 42: Wrong indentation for "Step", expected indentation level of 2, but got 4\nlinha 43: Wrong indentation for "Step", expected indentation level of 2, but got 4\nlinha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53: Multiple empty lines are not allowed\nlinha 54: Multiple empty lines are not allowed\nlinha 56: Wrong indentation for "Step", expected indentation level of 2, but got 4\nlinha 57: Wrong indentation for "Step", expected indentation level of 2, but got 4\nlinha 58: Wrong indentation for "Step", expected indentation level of 2, but got 4\nlinha 59: Wrong indentation for "Step", expected indentation level of 2, but got 4\nlinha 60: Wrong indentation for "Step", expected indentation level of 2, but got 4\nlinha 61: Wrong indentation for "Step", expected indentation level of 2, but got 4\nlinha 63: Multiple empty lines are not allowed\nlinha 64: Multiple empty lines are not allowed</t>
  </si>
  <si>
    <t>FinAegis_core-banking-prototype-laravel\financial_institutions_application_story_processado.txt</t>
  </si>
  <si>
    <t>FinAegis_core-banking-prototype-laravel\financial_institutions_application_story_processado_relatorio.txt</t>
  </si>
  <si>
    <t>FinAegis_core-banking-prototype-laravel\governance_voting_story_processado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</si>
  <si>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9: Multiple empty lines are not allowed\nlinha 10: Multiple empty lines are not allowed\nlinha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19: Multiple empty lines are not allowed\nlinha 20: Multiple empty lines are not allowed\nlinha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29: Multiple empty lines are not allowed\nlinha 30: Multiple empty lines are not allowed\nlinha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39: Multiple empty lines are not allowed\nlinha 40: Multiple empty lines are not allowed\nlinha 42: Wrong indentation for "Step", expected indentation level of 2, but got 4\nlinha 43: Wrong indentation for "Step", expected indentation level of 2, but got 4\nlinha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49: Multiple empty lines are not allowed\nlinha 50: Multiple empty lines are not allowed\nlinha 52: Wrong indentation for "Step", expected indentation level of 2, but got 4\nlinha 53: Wrong indentation for "Step", expected indentation level of 2, but got 4\nlinha 54: Wrong indentation for "Step", expected indentation level of 2, but got 4\nlinha 55: Wrong indentation for "Step", expected indentation level of 2, but got 4\nlinha 56: Wrong indentation for "Step", expected indentation level of 2, but got 4\nlinha 58: Multiple empty lines are not allowed\nlinha 59: Multiple empty lines are not allowed\nlinha 61: Wrong indentation for "Step", expected indentation level of 2, but got 4\nlinha 62: Wrong indentation for "Step", expected indentation level of 2, but got 4\nlinha 63: Wrong indentation for "Step", expected indentation level of 2, but got 4\nlinha 64: Wrong indentation for "Step", expected indentation level of 2, but got 4\nlinha 65: Wrong indentation for "Step", expected indentation level of 2, but got 4\nlinha 67: Multiple empty lines are not allowed\nlinha 68: Multiple empty lines are not allowed\nlinha 70: Wrong indentation for "Step", expected indentation level of 2, but got 4\nlinha 71: Wrong indentation for "Step", expected indentation level of 2, but got 4\nlinha 72: Wrong indentation for "Step", expected indentation level of 2, but got 4\nlinha 73: Wrong indentation for "Step", expected indentation level of 2, but got 4\nlinha 74: Wrong indentation for "Step", expected indentation level of 2, but got 4\nlinha 75: Wrong indentation for "Step", expected indentation level of 2, but got 4\nlinha 77: Multiple empty lines are not allowed\nlinha 78: Multiple empty lines are not allowed\nlinha 80: Wrong indentation for "Step", expected indentation level of 2, but got 4\nlinha 81: Wrong indentation for "Step", expected indentation level of 2, but got 4\nlinha 82: Wrong indentation for "Step", expected indentation level of 2, but got 4\nlinha 83: Wrong indentation for "Step", expected indentation level of 2, but got 4\nlinha 84: Wrong indentation for "Step", expected indentation level of 2, but got 4\nlinha 86: Multiple empty lines are not allowed\nlinha 87: Multiple empty lines are not allowed</t>
  </si>
  <si>
    <t>FinAegis_core-banking-prototype-laravel\governance_voting_story_processado.txt</t>
  </si>
  <si>
    <t>FinAegis_core-banking-prototype-laravel\governance_voting_story_processado_relatorio.txt</t>
  </si>
  <si>
    <t>GSA_search-gov\admin_center_clicks_and_queries_story_processado</t>
  </si>
  <si>
    <t>GSA_search-gov</t>
  </si>
  <si>
    <t>linha 3: Element Scenario too long: actual 21, expected 15\nlinha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10: Step "When I fill in "Query" with "nothing to see here"" should not appear after step using keyword then\nlinha 11: Wrong indentation for "Step", expected indentation level of 2, but got 4\nlinha 12: Wrong indentation for "Step", expected indentation level of 2, but got 4\nlinha 13: Wrong indentation for "Step", expected indentation level of 2, but got 4\nlinha 13: Step "When I follow "Clicks"" should not appear after step using keyword then\nlinha 14: Wrong indentation for "Step", expected indentation level of 2, but got 4\nlinha 15: Wrong indentation for "Step", expected indentation level of 2, but got 4\nlinha 16: Wrong indentation for "Step", expected indentation level of 2, but got 4\nlinha 16: Step name is too long. Length of 75 is longer than the maximum allowed: 70\nlinha 16: Step "Then I should see "Your site has not received any clicks on search results yet."" should use And instead of Then\nlinha 17: Wrong indentation for "Step", expected indentation level of 2, but got 4\nlinha 17: Step "When I follow "Referrers"" should not appear after step using keyword then\nlinha 18: Wrong indentation for "Step", expected indentation level of 2, but got 4\nlinha 19: Wrong indentation for "Step", expected indentation level of 2, but got 4\nlinha 19: Step name is too long. Length of 73 is longer than the maximum allowed: 70\nlinha 20: Wrong indentation for "Step", expected indentation level of 2, but got 4\nlinha 20: Step "When I follow "Monthly Reports"" should not appear after step using keyword then\nlinha 21: Wrong indentation for "Step", expected indentation level of 2, but got 4\nlinha 22: Wrong indentation for "Step", expected indentation level of 2, but got 4\nlinha 22: Step "When I download the top monthly queries report" should not appear after step using keyword then\nlinha 23: Wrong indentation for "Step", expected indentation level of 2, but got 4\nlinha 24: Wrong indentation for "Step", expected indentation level of 2, but got 4\nlinha 26: Multiple empty lines are not allowed\nlinha 27: Multiple empty lines are not allowed</t>
  </si>
  <si>
    <t>GSA_search-gov\admin_center_clicks_and_queries_story_processado.txt</t>
  </si>
  <si>
    <t>GSA_search-gov\admin_center_clicks_and_queries_story_processado_relatorio.txt</t>
  </si>
  <si>
    <t>GSA_search-gov\bulk_affiliate_styles_upload_story_processado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</si>
  <si>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8: Step "When I attach the file "features/support/bulk_affiliate_styles_upload.csv" to "bulk_upload_affiliate_styles"" should not appear after step using keyword then\nlinha 8: Step name is too long. Length of 103 is longer than the maximum allowed: 70\nlinha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"When I do not attach a file to "bulk_upload_affiliate_styles"" should not appear after step using keyword then\nlinha 14: Wrong indentation for "Step", expected indentation level of 2, but got 4\nlinha 15: Wrong indentation for "Step", expected indentation level of 2, but got 4\nlinha 16: Wrong indentation for "Step", expected indentation level of 2, but got 4\nlinha 18: Multiple empty lines are not allowed\nlinha 19: Multiple empty lines are not allowed</t>
  </si>
  <si>
    <t>GSA_search-gov\bulk_affiliate_styles_upload_story_processado.txt</t>
  </si>
  <si>
    <t>GSA_search-gov\bulk_affiliate_styles_upload_story_processado_relatorio.txt</t>
  </si>
  <si>
    <t>GSA_search-gov\odie_url_source_update_story_processado</t>
  </si>
  <si>
    <t>linha 3: Element Scenario too long: actual 24, expected 15\nlinha 4: Wrong indentation for "Step", expected indentation level of 2, but got 4\nlinha 5: Wrong indentation for "Step", expected indentation level of 2, but got 4\nlinha 5: Step "Given I am logged in with email "affiliate_admin@fixtures.org"" should use And instead of Given\nlinha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9: Step "When I fill in "affiliate_name" with "agency site"" should not appear after step using keyword then\nlinha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"When I fill in "affiliate_name" with "usagov"" should not appear after step using keyword then\nlinha 14: Wrong indentation for "Step", expected indentation level of 2, but got 4\nlinha 15: Wrong indentation for "Step", expected indentation level of 2, but got 4\nlinha 16: Wrong indentation for "Step", expected indentation level of 2, but got 4\nlinha 16: Step name is too long. Length of 76 is longer than the maximum allowed: 70\nlinha 17: Wrong indentation for "Step", expected indentation level of 2, but got 4\nlinha 18: Wrong indentation for "Step", expected indentation level of 2, but got 4\nlinha 18: Step "Given there are 5 rss indexed documents for affiliate "usagov"" should not appear after step using keyword then\nlinha 19: Wrong indentation for "Step", expected indentation level of 2, but got 4\nlinha 19: Step "When I follow "Search for a different affiliate"" should not appear after step using keyword then\nlinha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23: Step name is too long. Length of 76 is longer than the maximum allowed: 70\nlinha 24: Wrong indentation for "Step", expected indentation level of 2, but got 4\nlinha 25: Wrong indentation for "Step", expected indentation level of 2, but got 4\nlinha 25: Step "When I submit the form by pressing "Update Affiliate usagov"" should not appear after step using keyword then\nlinha 26: Wrong indentation for "Step", expected indentation level of 2, but got 4\nlinha 27: Wrong indentation for "Step", expected indentation level of 2, but got 4\nlinha 27: Step name is too long. Length of 72 is longer than the maximum allowed: 70\nlinha 29: Multiple empty lines are not allowed\nlinha 30: Multiple empty lines are not allowed</t>
  </si>
  <si>
    <t>GSA_search-gov\odie_url_source_update_story_processado.txt</t>
  </si>
  <si>
    <t>GSA_search-gov\odie_url_source_update_story_processado_relatorio.txt</t>
  </si>
  <si>
    <t>GSA_search-gov\search_elastic_story_processado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</si>
  <si>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9: Multiple empty lines are not allowed\nlinha 10: Multiple empty lines are not allowed</t>
  </si>
  <si>
    <t>GSA_search-gov\search_elastic_story_processado.txt</t>
  </si>
  <si>
    <t>GSA_search-gov\search_elastic_story_processado_relatorio.txt</t>
  </si>
  <si>
    <t>IRPTeam_IRP\_00503TaxRatesCatalog_story_processado</t>
  </si>
  <si>
    <t>IRPTeam_IRP</t>
  </si>
  <si>
    <t>linha 3: Element Scenario too long: actual 49, expected 15\nlinha 4: Wrong indentation for "Step", expected indentation level of 2, but got 4\nlinha 5: Wrong indentation for "Step", expected indentation level of 2, but got 4\nlinha 6: Wrong indentation for "Step", expected indentation level of 2, but got 4\nlinha 6: Step "Given I open hyperlink "e1cib/list/Catalog.TaxRates"" should not appear after step using keyword when\nlinha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17: Step name is too long. Length of 80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80 is longer than the maximum allowed: 70\nlinha 31: Wrong indentation for "Step", expected indentation level of 2, but got 4\nlinha 31: Step name is too long. Length of 71 is longer than the maximum allowed: 70\nlinha 31: Step "Then the form attribute named "Description_en" became equal to "Without VAT"" should use And instead of Then\nlinha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4\nlinha 43: Wrong indentation for "Step", expected indentation level of 2, but got 4\nlinha 43: Step name is too long. Length of 80 is longer than the maximum allowed: 70\nlinha 44: Wrong indentation for "Step", expected indentation level of 2, but got 4\nlinha 44: Step "Then the form attribute named "Description_en" became equal to "0%"" should use And instead of Then\nlinha 45: Wrong indentation for "Step", expected indentation level of 2, but got 4\nlinha 46: Wrong indentation for "Step", expected indentation level of 2, but got 4\nlinha 47: Wrong indentation for "Step", expected indentation level of 2, but got 4\nlinha 48: Wrong indentation for "Step", expected indentation level of 2, but got 4\nlinha 48: Step name is too long. Length of 73 is longer than the maximum allowed: 70\nlinha 48: Step "Then I check for the "TaxRates" catalog element with the "Description_en" "8%"" should use And instead of Then\nlinha 49: Wrong indentation for "Step", expected indentation level of 2, but got 4\nlinha 49: Step name is too long. Length of 76 is longer than the maximum allowed: 70\nlinha 49: Step "Then I check for the "TaxRates" catalog element with the "Description_tr" "8% TR"" should use And instead of Then\nlinha 50: Wrong indentation for "Step", expected indentation level of 2, but got 4\nlinha 50: Step name is too long. Length of 76 is longer than the maximum allowed: 70\nlinha 50: Step "Then I check for the "TaxRates" catalog element with the "Description_ru" "8% RU"" should use And instead of Then\nlinha 51: Wrong indentation for "Step", expected indentation level of 2, but got 4\nlinha 51: Step name is too long. Length of 82 is longer than the maximum allowed: 70\nlinha 51: Step "Then I check for the "TaxRates" catalog element with the "Description_en" "Without VAT"" should use And instead of Then\nlinha 52: Wrong indentation for "Step", expected indentation level of 2, but got 4\nlinha 52: Step name is too long. Length of 73 is longer than the maximum allowed: 70\nlinha 52: Step "Then I check for the "TaxRates" catalog element with the "Description_en" "0%"" should use And instead of Then\nlinha 54: Multiple empty lines are not allowed\nlinha 55: Multiple empty lines are not allowed</t>
  </si>
  <si>
    <t>IRPTeam_IRP\_00503TaxRatesCatalog_story_processado.txt</t>
  </si>
  <si>
    <t>IRPTeam_IRP\_00503TaxRatesCatalog_story_processado_relatorio.txt</t>
  </si>
  <si>
    <t>IRPTeam_IRP\_00505CurrencyMovementType_story_processado</t>
  </si>
  <si>
    <t>linha 3: Element Scenario too long: actual 19, expected 15\nlinha 4: Wrong indentation for "Step", expected indentation level of 2, but got 4\nlinha 5: Wrong indentation for "Step", expected indentation level of 2, but got 4\nlinha 6: Wrong indentation for "Step", expected indentation level of 2, but got 4\nlinha 6: Step "When Create catalog Currencies objects" should use And instead of When\nlinha 7: Wrong indentation for "Step", expected indentation level of 2, but got 4\nlinha 7: Step "When Create catalog IntegrationSettings objects" should use And instead of When\nlinha 8: Wrong indentation for "Step", expected indentation level of 2, but got 4\nlinha 9: Wrong indentation for "Step", expected indentation level of 2, but got 4\nlinha 9: Step "Given I open hyperlink "e1cib/list/ChartOfCharacteristicTypes.CurrencyMovementType"" should not appear after step using keyword when\nlinha 9: Step name is too long. Length of 77 is longer than the maximum allowed: 70\nlinha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24: Multiple empty lines are not allowed\nlinha 25: Multiple empty lines are not allowed</t>
  </si>
  <si>
    <t>IRPTeam_IRP\_00505CurrencyMovementType_story_processado.txt</t>
  </si>
  <si>
    <t>IRPTeam_IRP\_00505CurrencyMovementType_story_processado_relatorio.txt</t>
  </si>
  <si>
    <t>IRPTeam_IRP\_00509PaymentTermsCatalog_story_processado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</si>
  <si>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"Given I open hyperlink "e1cib/list/Catalog.PaymentSchedules"" should not appear after step using keyword when\nlinha 7: Wrong indentation for "Step", expected indentation level of 2, but got 4\nlinha 8: Wrong indentation for "Step", expected indentation level of 2, but got 4\nlinha 9: Wrong indentation for "Step", expected indentation level of 2, but got 4\nlinha 9: Step name is too long. Length of 87 is longer than the maximum allowed: 70\nlinha 10: Wrong indentation for "Step", expected indentation level of 2, but got 4\nlinha 10: Step name is too long. Length of 86 is longer than the maximum allowed: 70\nlinha 10: Step "Then I check for the "PaymentSchedules" catalog element with the "Description_tr" "Test TR"" should use And instead of Then\nlinha 12: Multiple empty lines are not allowed\nlinha 13: Multiple empty lines are not allowed</t>
  </si>
  <si>
    <t>IRPTeam_IRP\_00509PaymentTermsCatalog_story_processado.txt</t>
  </si>
  <si>
    <t>IRPTeam_IRP\_00509PaymentTermsCatalog_story_processado_relatorio.txt</t>
  </si>
  <si>
    <t>IRPTeam_IRP\_0296Unbundling_story_processado</t>
  </si>
  <si>
    <t>linha 3: Element Scenario too long: actual 26, expected 15\nlinha 4: Wrong indentation for "Step", expected indentation level of 2, but got 4\nlinha 5: Wrong indentation for "Step", expected indentation level of 2, but got 4\nlinha 6: Wrong indentation for "Step", expected indentation level of 2, but got 4\nlinha 6: Step "When Create catalog ItemKeys objects" should use And instead of When\nlinha 7: Wrong indentation for "Step", expected indentation level of 2, but got 4\nlinha 7: Step "When Create catalog ItemTypes objects" should use And instead of When\nlinha 8: Wrong indentation for "Step", expected indentation level of 2, but got 4\nlinha 8: Step "When Create catalog Units objects" should use And instead of When\nlinha 9: Wrong indentation for "Step", expected indentation level of 2, but got 4\nlinha 9: Step "When Create catalog Items objects" should use And instead of When\nlinha 10: Wrong indentation for "Step", expected indentation level of 2, but got 4\nlinha 10: Step "When Create catalog Specifications objects" should use And instead of When\nlinha 11: Wrong indentation for "Step", expected indentation level of 2, but got 4\nlinha 11: Step "When Create chart of characteristic types AddAttributeAndProperty objects" should use And instead of When\nlinha 12: Wrong indentation for "Step", expected indentation level of 2, but got 4\nlinha 12: Step "When Create catalog AddAttributeAndPropertySets objects" should use And instead of When\nlinha 13: Wrong indentation for "Step", expected indentation level of 2, but got 4\nlinha 13: Step "When Create catalog AddAttributeAndPropertyValues objects" should use And instead of When\nlinha 14: Wrong indentation for "Step", expected indentation level of 2, but got 4\nlinha 14: Step "When Create catalog Companies objects (Main company)" should use And instead of When\nlinha 15: Wrong indentation for "Step", expected indentation level of 2, but got 4\nlinha 15: Step "When Create catalog PriceTypes objects" should use And instead of When\nlinha 16: Wrong indentation for "Step", expected indentation level of 2, but got 4\nlinha 16: Step "When Create catalog Currencies objects" should use And instead of When\nlinha 17: Wrong indentation for "Step", expected indentation level of 2, but got 4\nlinha 17: Step "When Create catalog Partners objects (Ferron BP)" should use And instead of When\nlinha 18: Wrong indentation for "Step", expected indentation level of 2, but got 4\nlinha 18: Step "When Create catalog Companies objects (partners company)" should use And instead of When\nlinha 19: Wrong indentation for "Step", expected indentation level of 2, but got 4\nlinha 19: Step "When Create catalog Countries objects" should use And instead of When\nlinha 20: Wrong indentation for "Step", expected indentation level of 2, but got 4\nlinha 20: Step "When Create information register PartnerSegments records" should use And instead of When\nlinha 21: Wrong indentation for "Step", expected indentation level of 2, but got 4\nlinha 21: Step "When Create catalog PartnerSegments objects" should use And instead of When\nlinha 22: Wrong indentation for "Step", expected indentation level of 2, but got 4\nlinha 22: Step "When Create catalog Agreements objects" should use And instead of When\nlinha 23: Wrong indentation for "Step", expected indentation level of 2, but got 4\nlinha 23: Step "When Create chart of characteristic types CurrencyMovementType objects" should use And instead of When\nlinha 24: Wrong indentation for "Step", expected indentation level of 2, but got 4\nlinha 24: Step "When Create catalog TaxRates objects" should use And instead of When\nlinha 25: Wrong indentation for "Step", expected indentation level of 2, but got 4\nlinha 25: Step "When Create catalog Taxes objects" should use And instead of When\nlinha 26: Wrong indentation for "Step", expected indentation level of 2, but got 4\nlinha 26: Step "When Create information register TaxSettings records" should use And instead of When\nlinha 27: Wrong indentation for "Step", expected indentation level of 2, but got 4\nlinha 27: Step "When Create catalog IntegrationSettings objects" should use And instead of When\nlinha 28: Wrong indentation for "Step", expected indentation level of 2, but got 4\nlinha 28: Step "When Create information register CurrencyRates records" should use And instead of When\nlinha 29: Wrong indentation for "Step", expected indentation level of 2, but got 4\nlinha 29: Step "When Create information register Taxes records (VAT)" should use And instead of When\nlinha 31: Multiple empty lines are not allowed\nlinha 32: Multiple empty lines are not allowed\nlinha 34: Wrong indentation for "Step", expected indentation level of 2, but got 4\nlinha 36: Multiple empty lines are not allowed\nlinha 37: Multiple empty lines are not allowed\nlinha 38: Scenario name is too long. Length of 154 is longer than the maximum allowed: 70\nlinha 38: Element Scenario too long: actual 30, expected 15\nlinha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4\nlinha 43: Wrong indentation for "Step", expected indentation level of 2, but got 4\nlinha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53: Wrong indentation for "Step", expected indentation level of 2, but got 4\nlinha 54: Wrong indentation for "Step", expected indentation level of 2, but got 4\nlinha 55: Wrong indentation for "Step", expected indentation level of 2, but got 4\nlinha 56: Wrong indentation for "Step", expected indentation level of 2, but got 4\nlinha 57: Wrong indentation for "Step", expected indentation level of 2, but got 4\nlinha 58: Wrong indentation for "Step", expected indentation level of 2, but got 4\nlinha 59: Wrong indentation for "Step", expected indentation level of 2, but got 4\nlinha 60: Wrong indentation for "Step", expected indentation level of 2, but got 4\nlinha 61: Wrong indentation for "Step", expected indentation level of 2, but got 4\nlinha 62: Wrong indentation for "Step", expected indentation level of 2, but got 4\nlinha 63: Wrong indentation for "Step", expected indentation level of 2, but got 4\nlinha 64: Wrong indentation for "Step", expected indentation level of 2, but got 4\nlinha 65: Wrong indentation for "Step", expected indentation level of 2, but got 4\nlinha 66: Wrong indentation for "Step", expected indentation level of 2, but got 4\nlinha 67: Wrong indentation for "Step", expected indentation level of 2, but got 4\nlinha 68: Wrong indentation for "Step", expected indentation level of 2, but got 4\nlinha 70: Multiple empty lines are not allowed\nlinha 71: Multiple empty lines are not allowed\nlinha 72: Scenario name is too long. Length of 145 is longer than the maximum allowed: 70\nlinha 72: Element Scenario too long: actual 31, expected 15\nlinha 73: Wrong indentation for "Step", expected indentation level of 2, but got 4\nlinha 73: Step name is too long. Length of 87 is longer than the maximum allowed: 70\nlinha 74: Wrong indentation for "Step", expected indentation level of 2, but got 4\nlinha 74: Step "Given I open hyperlink "e1cib/list/Document.Unbundling"" should not appear after step using keyword when\nlinha 75: Wrong indentation for "Step", expected indentation level of 2, but got 4\nlinha 76: Wrong indentation for "Step", expected indentation level of 2, but got 4\nlinha 77: Wrong indentation for "Step", expected indentation level of 2, but got 4\nlinha 78: Wrong indentation for "Step", expected indentation level of 2, but got 4\nlinha 79: Wrong indentation for "Step", expected indentation level of 2, but got 4\nlinha 80: Wrong indentation for "Step", expected indentation level of 2, but got 4\nlinha 81: Wrong indentation for "Step", expected indentation level of 2, but got 4\nlinha 82: Wrong indentation for "Step", expected indentation level of 2, but got 4\nlinha 83: Wrong indentation for "Step", expected indentation level of 2, but got 4\nlinha 84: Wrong indentation for "Step", expected indentation level of 2, but got 4\nlinha 85: Wrong indentation for "Step", expected indentation level of 2, but got 4\nlinha 86: Wrong indentation for "Step", expected indentation level of 2, but got 4\nlinha 87: Wrong indentation for "Step", expected indentation level of 2, but got 4\nlinha 88: Wrong indentation for "Step", expected indentation level of 2, but got 4\nlinha 89: Wrong indentation for "Step", expected indentation level of 2, but got 4\nlinha 90: Wrong indentation for "Step", expected indentation level of 2, but got 4\nlinha 91: Wrong indentation for "Step", expected indentation level of 2, but got 4\nlinha 92: Wrong indentation for "Step", expected indentation level of 2, but got 4\nlinha 93: Wrong indentation for "Step", expected indentation level of 2, but got 4\nlinha 94: Wrong indentation for "Step", expected indentation level of 2, but got 4\nlinha 95: Wrong indentation for "Step", expected indentation level of 2, but got 4\nlinha 96: Wrong indentation for "Step", expected indentation level of 2, but got 4\nlinha 97: Wrong indentation for "Step", expected indentation level of 2, but got 4\nlinha 98: Wrong indentation for "Step", expected indentation level of 2, but got 4\nlinha 99: Wrong indentation for "Step", expected indentation level of 2, but got 4\nlinha 100: Wrong indentation for "Step", expected indentation level of 2, but got 4\nlinha 101: Wrong indentation for "Step", expected indentation level of 2, but got 4\nlinha 102: Wrong indentation for "Step", expected indentation level of 2, but got 4\nlinha 103: Wrong indentation for "Step", expected indentation level of 2, but got 4\nlinha 105: Multiple empty lines are not allowed\nlinha 106: Multiple empty lines are not allowed\nlinha 107: Scenario name is too long. Length of 86 is longer than the maximum allowed: 70\nlinha 107: Element Scenario too long: actual 30, expected 15\nlinha 108: Wrong indentation for "Step", expected indentation level of 2, but got 4\nlinha 109: Wrong indentation for "Step", expected indentation level of 2, but got 4\nlinha 110: Wrong indentation for "Step", expected indentation level of 2, but got 4\nlinha 111: Wrong indentation for "Step", expected indentation level of 2, but got 4\nlinha 112: Wrong indentation for "Step", expected indentation level of 2, but got 4\nlinha 113: Wrong indentation for "Step", expected indentation level of 2, but got 4\nlinha 114: Wrong indentation for "Step", expected indentation level of 2, but got 4\nlinha 115: Wrong indentation for "Step", expected indentation level of 2, but got 4\nlinha 116: Wrong indentation for "Step", expected indentation level of 2, but got 4\nlinha 117: Wrong indentation for "Step", expected indentation level of 2, but got 4\nlinha 118: Wrong indentation for "Step", expected indentation level of 2, but got 4\nlinha 119: Wrong indentation for "Step", expected indentation level of 2, but got 4\nlinha 120: Wrong indentation for "Step", expected indentation level of 2, but got 4\nlinha 121: Wrong indentation for "Step", expected indentation level of 2, but got 4\nlinha 122: Wrong indentation for "Step", expected indentation level of 2, but got 4\nlinha 123: Wrong indentation for "Step", expected indentation level of 2, but got 4\nlinha 124: Wrong indentation for "Step", expected indentation level of 2, but got 4\nlinha 125: Wrong indentation for "Step", expected indentation level of 2, but got 4\nlinha 126: Wrong indentation for "Step", expected indentation level of 2, but got 4\nlinha 127: Wrong indentation for "Step", expected indentation level of 2, but got 4\nlinha 128: Wrong indentation for "Step", expected indentation level of 2, but got 4\nlinha 129: Wrong indentation for "Step", expected indentation level of 2, but got 4\nlinha 130: Wrong indentation for "Step", expected indentation level of 2, but got 4\nlinha 131: Wrong indentation for "Step", expected indentation level of 2, but got 4\nlinha 132: Wrong indentation for "Step", expected indentation level of 2, but got 4\nlinha 133: Wrong indentation for "Step", expected indentation level of 2, but got 4\nlinha 134: Wrong indentation for "Step", expected indentation level of 2, but got 4\nlinha 135: Wrong indentation for "Step", expected indentation level of 2, but got 4\nlinha 136: Wrong indentation for "Step", expected indentation level of 2, but got 4\nlinha 137: Wrong indentation for "Step", expected indentation level of 2, but got 4\nlinha 139: Multiple empty lines are not allowed\nlinha 140: Multiple empty lines are not allowed\nlinha 141: Scenario name is too long. Length of 125 is longer than the maximum allowed: 70\nlinha 141: Element Scenario too long: actual 40, expected 15\nlinha 142: Wrong indentation for "Step", expected indentation level of 2, but got 4\nlinha 143: Wrong indentation for "Step", expected indentation level of 2, but got 4\nlinha 144: Wrong indentation for "Step", expected indentation level of 2, but got 4\nlinha 145: Wrong indentation for "Step", expected indentation level of 2, but got 4\nlinha 146: Wrong indentation for "Step", expected indentation level of 2, but got 4\nlinha 147: Wrong indentation for "Step", expected indentation level of 2, but got 4\nlinha 148: Wrong indentation for "Step", expected indentation level of 2, but got 4\nlinha 149: Wrong indentation for "Step", expected indentation level of 2, but got 4\nlinha 150: Wrong indentation for "Step", expected indentation level of 2, but got 4\nlinha 151: Wrong indentation for "Step", expected indentation level of 2, but got 4\nlinha 152: Wrong indentation for "Step", expected indentation level of 2, but got 4\nlinha 152: Step "Given I open hyperlink "e1cib/list/Document.Unbundling"" should use And instead of Given\nlinha 153: Wrong indentation for "Step", expected indentation level of 2, but got 4\nlinha 154: Wrong indentation for "Step", expected indentation level of 2, but got 4\nlinha 155: Wrong indentation for "Step", expected indentation level of 2, but got 4\nlinha 156: Wrong indentation for "Step", expected indentation level of 2, but got 4\nlinha 157: Wrong indentation for "Step", expected indentation level of 2, but got 4\nlinha 158: Wrong indentation for "Step", expected indentation level of 2, but got 4\nlinha 159: Wrong indentation for "Step", expected indentation level of 2, but got 4\nlinha 160: Wrong indentation for "Step", expected indentation level of 2, but got 4\nlinha 161: Wrong indentation for "Step", expected indentation level of 2, but got 4\nlinha 162: Wrong indentation for "Step", expected indentation level of 2, but got 4\nlinha 163: Wrong indentation for "Step", expected indentation level of 2, but got 4\nlinha 164: Wrong indentation for "Step", expected indentation level of 2, but got 4\nlinha 165: Wrong indentation for "Step", expected indentation level of 2, but got 4\nlinha 166: Wrong indentation for "Step", expected indentation level of 2, but got 4\nlinha 167: Wrong indentation for "Step", expected indentation level of 2, but got 4\nlinha 168: Wrong indentation for "Step", expected indentation level of 2, but got 4\nlinha 169: Wrong indentation for "Step", expected indentation level of 2, but got 4\nlinha 170: Wrong indentation for "Step", expected indentation level of 2, but got 4\nlinha 171: Wrong indentation for "Step", expected indentation level of 2, but got 4\nlinha 172: Wrong indentation for "Step", expected indentation level of 2, but got 4\nlinha 173: Wrong indentation for "Step", expected indentation level of 2, but got 4\nlinha 174: Wrong indentation for "Step", expected indentation level of 2, but got 4\nlinha 175: Wrong indentation for "Step", expected indentation level of 2, but got 4\nlinha 176: Wrong indentation for "Step", expected indentation level of 2, but got 4\nlinha 177: Wrong indentation for "Step", expected indentation level of 2, but got 4\nlinha 178: Wrong indentation for "Step", expected indentation level of 2, but got 4\nlinha 179: Wrong indentation for "Step", expected indentation level of 2, but got 4\nlinha 180: Wrong indentation for "Step", expected indentation level of 2, but got 4\nlinha 181: Wrong indentation for "Step", expected indentation level of 2, but got 4\nlinha 183: Multiple empty lines are not allowed\nlinha 184: Multiple empty lines are not allowed\nlinha 185: Element Scenario too long: actual 33, expected 15\nlinha 186: Wrong indentation for "Step", expected indentation level of 2, but got 4\nlinha 187: Wrong indentation for "Step", expected indentation level of 2, but got 4\nlinha 188: Wrong indentation for "Step", expected indentation level of 2, but got 4\nlinha 189: Wrong indentation for "Step", expected indentation level of 2, but got 4\nlinha 190: Wrong indentation for "Step", expected indentation level of 2, but got 4\nlinha 191: Wrong indentation for "Step", expected indentation level of 2, but got 4\nlinha 192: Wrong indentation for "Step", expected indentation level of 2, but got 4\nlinha 193: Wrong indentation for "Step", expected indentation level of 2, but got 4\nlinha 194: Wrong indentation for "Step", expected indentation level of 2, but got 4\nlinha 195: Wrong indentation for "Step", expected indentation level of 2, but got 4\nlinha 196: Wrong indentation for "Step", expected indentation level of 2, but got 4\nlinha 197: Wrong indentation for "Step", expected indentation level of 2, but got 4\nlinha 198: Wrong indentation for "Step", expected indentation level of 2, but got 4\nlinha 199: Wrong indentation for "Step", expected indentation level of 2, but got 4\nlinha 200: Wrong indentation for "Step", expected indentation level of 2, but got 4\nlinha 201: Wrong indentation for "Step", expected indentation level of 2, but got 4\nlinha 202: Wrong indentation for "Step", expected indentation level of 2, but got 4\nlinha 203: Wrong indentation for "Step", expected indentation level of 2, but got 4\nlinha 204: Wrong indentation for "Step", expected indentation level of 2, but got 4\nlinha 205: Wrong indentation for "Step", expected indentation level of 2, but got 4\nlinha 206: Wrong indentation for "Step", expected indentation level of 2, but got 4\nlinha 207: Wrong indentation for "Step", expected indentation level of 2, but got 4\nlinha 208: Wrong indentation for "Step", expected indentation level of 2, but got 4\nlinha 209: Wrong indentation for "Step", expected indentation level of 2, but got 4\nlinha 210: Wrong indentation for "Step", expected indentation level of 2, but got 4\nlinha 211: Wrong indentation for "Step", expected indentation level of 2, but got 4\nlinha 212: Wrong indentation for "Step", expected indentation level of 2, but got 4\nlinha 213: Wrong indentation for "Step", expected indentation level of 2, but got 4\nlinha 214: Wrong indentation for "Step", expected indentation level of 2, but got 4\nlinha 215: Wrong indentation for "Step", expected indentation level of 2, but got 4\nlinha 216: Wrong indentation for "Step", expected indentation level of 2, but got 4\nlinha 216: Step "Given I open hyperlink "e1cib/list/Document.Unbundling"" should use And instead of Given\nlinha 217: Wrong indentation for "Step", expected indentation level of 2, but got 4\nlinha 218: Wrong indentation for "Step", expected indentation level of 2, but got 4\nlinha 220: Multiple empty lines are not allowed\nlinha 221: Multiple empty lines are not allowed\nlinha 223: Wrong indentation for "Step", expected indentation level of 2, but got 4\nlinha 224: Wrong indentation for "Step", expected indentation level of 2, but got 4\nlinha 225: Wrong indentation for "Step", expected indentation level of 2, but got 4\nlinha 226: Wrong indentation for "Step", expected indentation level of 2, but got 4\nlinha 226: Step name is too long. Length of 78 is longer than the maximum allowed: 70\nlinha 227: Wrong indentation for "Step", expected indentation level of 2, but got 4\nlinha 228: Wrong indentation for "Step", expected indentation level of 2, but got 4\nlinha 229: Wrong indentation for "Step", expected indentation level of 2, but got 4\nlinha 231: Multiple empty lines are not allowed\nlinha 232: Multiple empty lines are not allowed</t>
  </si>
  <si>
    <t>IRPTeam_IRP\_0296Unbundling_story_processado.txt</t>
  </si>
  <si>
    <t>IRPTeam_IRP\_0296Unbundling_story_processado_relatorio.txt</t>
  </si>
  <si>
    <t>MetaMask_metamask-mobile\ColdStartToOnboardingScreenIOS_story_processado</t>
  </si>
  <si>
    <t>MetaMask_metamask-mobile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</si>
  <si>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6: Step "Then the app start time should not exceed "700" milliseconds" should use And instead of Then\nlinha 8: Multiple empty lines are not allowed\nlinha 9: Multiple empty lines are not allowed</t>
  </si>
  <si>
    <t>MetaMask_metamask-mobile\ColdStartToOnboardingScreenIOS_story_processado.txt</t>
  </si>
  <si>
    <t>MetaMask_metamask-mobile\ColdStartToOnboardingScreenIOS_story_processado_relatorio.txt</t>
  </si>
  <si>
    <t>MetaMask_metamask-mobile\NetworkFlow_story_processado</t>
  </si>
  <si>
    <t>linha 3: Scenario name is too long. Length of 72 is longer than the maximum allowed: 70\nlinha 3: Element Scenario too long: actual 22, expected 15\nlinha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"When I tap on network "Palm" to add it" should not appear after step using keyword then\nlinha 14: Wrong indentation for "Step", expected indentation level of 2, but got 4\nlinha 15: Wrong indentation for "Step", expected indentation level of 2, but got 4\nlinha 15: Step "When I select approve" should not appear after step using keyword then\nlinha 16: Wrong indentation for "Step", expected indentation level of 2, but got 4\nlinha 17: Wrong indentation for "Step", expected indentation level of 2, but got 4\nlinha 18: Wrong indentation for "Step", expected indentation level of 2, but got 4\nlinha 18: Step "When I tap on Switch network" should not appear after step using keyword then\nlinha 19: Wrong indentation for "Step", expected indentation level of 2, but got 4\nlinha 20: Wrong indentation for "Step", expected indentation level of 2, but got 4\nlinha 21: Wrong indentation for "Step", expected indentation level of 2, but got 4\nlinha 21: Step "When I tap on the Settings tab option" should not appear after step using keyword then\nlinha 22: Wrong indentation for "Step", expected indentation level of 2, but got 4\nlinha 23: Wrong indentation for "Step", expected indentation level of 2, but got 4\nlinha 24: Wrong indentation for "Step", expected indentation level of 2, but got 4\nlinha 24: Step "When I tap on the Add Network button" should not appear after step using keyword then\nlinha 25: Wrong indentation for "Step", expected indentation level of 2, but got 4\nlinha 27: Multiple empty lines are not allowed\nlinha 28: Multiple empty lines are not allowed\nlinha 29: Multiple empty lines are not allowed\nlinha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35: Step "When I tap on the "CUSTOM NETWORKS" tab" should not appear after step using keyword then\nlinha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4\nlinha 44: Multiple empty lines are not allowed\nlinha 45: Multiple empty lines are not allowed\nlinha 46: Multiple empty lines are not allowed\nlinha 47: Scenario name is too long. Length of 96 is longer than the maximum allowed: 70\nlinha 47: Element Scenario too long: actual 20, expected 15\nlinha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53: Wrong indentation for "Step", expected indentation level of 2, but got 4\nlinha 54: Wrong indentation for "Step", expected indentation level of 2, but got 4\nlinha 54: Step "When I tap on the "POPULAR" tab" should not appear after step using keyword then\nlinha 55: Wrong indentation for "Step", expected indentation level of 2, but got 4\nlinha 56: Wrong indentation for "Step", expected indentation level of 2, but got 4\nlinha 57: Wrong indentation for "Step", expected indentation level of 2, but got 4\nlinha 58: Wrong indentation for "Step", expected indentation level of 2, but got 4\nlinha 59: Wrong indentation for "Step", expected indentation level of 2, but got 4\nlinha 59: Step "When I tap on Switch network" should not appear after step using keyword then\nlinha 60: Wrong indentation for "Step", expected indentation level of 2, but got 4\nlinha 61: Wrong indentation for "Step", expected indentation level of 2, but got 4\nlinha 61: Step name is too long. Length of 72 is longer than the maximum allowed: 70\nlinha 61: Step "Then I should see the added network name "Optimism" in the top navigation bar" should use And instead of Then\nlinha 62: Wrong indentation for "Step", expected indentation level of 2, but got 4\nlinha 62: Step "When I tap on the Settings tab option" should not appear after step using keyword then\nlinha 63: Wrong indentation for "Step", expected indentation level of 2, but got 4\nlinha 64: Wrong indentation for "Step", expected indentation level of 2, but got 4\nlinha 65: Wrong indentation for "Step", expected indentation level of 2, but got 4\nlinha 66: Wrong indentation for "Step", expected indentation level of 2, but got 4\nlinha 66: Step name is too long. Length of 72 is longer than the maximum allowed: 70\nlinha 67: Wrong indentation for "Step", expected indentation level of 2, but got 4\nlinha 69: Multiple empty lines are not allowed\nlinha 70: Multiple empty lines are not allowed\nlinha 71: Multiple empty lines are not allowed\nlinha 72: Scenario name is too long. Length of 95 is longer than the maximum allowed: 70\nlinha 72: Element Scenario too long: actual 18, expected 15\nlinha 73: Wrong indentation for "Step", expected indentation level of 2, but got 4\nlinha 74: Wrong indentation for "Step", expected indentation level of 2, but got 4\nlinha 75: Wrong indentation for "Step", expected indentation level of 2, but got 4\nlinha 76: Wrong indentation for "Step", expected indentation level of 2, but got 4\nlinha 77: Wrong indentation for "Step", expected indentation level of 2, but got 4\nlinha 77: Step "When I tap on the "CUSTOM NETWORKS" tab" should not appear after step using keyword then\nlinha 78: Wrong indentation for "Step", expected indentation level of 2, but got 4\nlinha 79: Wrong indentation for "Step", expected indentation level of 2, but got 4\nlinha 80: Wrong indentation for "Step", expected indentation level of 2, but got 4\nlinha 81: Wrong indentation for "Step", expected indentation level of 2, but got 4\nlinha 82: Wrong indentation for "Step", expected indentation level of 2, but got 4\nlinha 83: Wrong indentation for "Step", expected indentation level of 2, but got 4\nlinha 84: Wrong indentation for "Step", expected indentation level of 2, but got 4\nlinha 84: Step name is too long. Length of 76 is longer than the maximum allowed: 70\nlinha 84: Step "Then I should see the added network name "Celo Mainnet" in the top navigation bar" should use And instead of Then\nlinha 85: Wrong indentation for "Step", expected indentation level of 2, but got 4\nlinha 85: Step "When I tap on the Settings tab option" should not appear after step using keyword then\nlinha 86: Wrong indentation for "Step", expected indentation level of 2, but got 4\nlinha 87: Wrong indentation for "Step", expected indentation level of 2, but got 4\nlinha 88: Wrong indentation for "Step", expected indentation level of 2, but got 4\nlinha 89: Wrong indentation for "Step", expected indentation level of 2, but got 4\nlinha 90: Wrong indentation for "Step", expected indentation level of 2, but got 4\nlinha 92: Multiple empty lines are not allowed\nlinha 93: Multiple empty lines are not allowed\nlinha 94: Multiple empty lines are not allowed</t>
  </si>
  <si>
    <t>MetaMask_metamask-mobile\NetworkFlow_story_processado.txt</t>
  </si>
  <si>
    <t>MetaMask_metamask-mobile\NetworkFlow_story_processado_relatorio.txt</t>
  </si>
  <si>
    <t>MetaMask_metamask-mobile\RequestTokenFlow_story_processado</t>
  </si>
  <si>
    <t>linha 3: Element Scenario too long: actual 17, expected 15\nlinha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11: Step "When I tap on the navbar network title button" should not appear after step using keyword then\nlinha 12: Wrong indentation for "Step", expected indentation level of 2, but got 4\nlinha 13: Wrong indentation for "Step", expected indentation level of 2, but got 4\nlinha 13: Step "When I tap on network "BNB Smart Chain" to add it" should not appear after step using keyword then\nlinha 13: Step "When I tap on network "BNB Smart Chain" to add it" should use And instead of When\nlinha 14: Wrong indentation for "Step", expected indentation level of 2, but got 4\nlinha 15: Wrong indentation for "Step", expected indentation level of 2, but got 4\nlinha 15: Step "When I tap on button with text "Approve"" should not appear after step using keyword then\nlinha 16: Wrong indentation for "Step", expected indentation level of 2, but got 4\nlinha 17: Wrong indentation for "Step", expected indentation level of 2, but got 4\nlinha 17: Step "When I tap on button with text "Close"" should not appear after step using keyword then\nlinha 18: Wrong indentation for "Step", expected indentation level of 2, but got 4\nlinha 19: Wrong indentation for "Step", expected indentation level of 2, but got 4\nlinha 20: Wrong indentation for "Step", expected indentation level of 2, but got 4\nlinha 22: Multiple empty lines are not allowed\nlinha 23: Multiple empty lines are not allowed\nlinha 24: Element Scenario too long: actual 16, expected 15\nlinha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28: Step "Then I see "BNB Smart Chain" visible in the top navigation bar" should use And instead of Then\nlinha 29: Wrong indentation for "Step", expected indentation level of 2, but got 4\nlinha 29: Step "When On the Main Wallet view I tap on the Receive Action" should not appear after step using keyword then\nlinha 30: Wrong indentation for "Step", expected indentation level of 2, but got 4\nlinha 31: Wrong indentation for "Step", expected indentation level of 2, but got 4\nlinha 31: Step "When I tap on button with text "Request Payment"" should not appear after step using keyword then\nlinha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36: Step "When I type "12" into the Request Amount field" should not appear after step using keyword then\nlinha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42: Multiple empty lines are not allowed\nlinha 43: Multiple empty lines are not allowed\nlinha 44: Multiple empty lines are not allowed\nlinha 45: Element Scenario too long: actual 22, expected 15\nlinha 46: Wrong indentation for "Step", expected indentation level of 2, but got 4\nlinha 47: Wrong indentation for "Step", expected indentation level of 2, but got 4\nlinha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51: Step "When I tap on button with text "Request Payment"" should not appear after step using keyword then\nlinha 52: Wrong indentation for "Step", expected indentation level of 2, but got 4\nlinha 53: Wrong indentation for "Step", expected indentation level of 2, but got 4\nlinha 54: Wrong indentation for "Step", expected indentation level of 2, but got 4\nlinha 54: Step "When I tap on button with text "Binance Beacon ETH"" should not appear after step using keyword then\nlinha 55: Wrong indentation for "Step", expected indentation level of 2, but got 4\nlinha 56: Wrong indentation for "Step", expected indentation level of 2, but got 4\nlinha 56: Step "When I tap to navigate back from request view" should not appear after step using keyword then\nlinha 57: Wrong indentation for "Step", expected indentation level of 2, but got 4\nlinha 58: Wrong indentation for "Step", expected indentation level of 2, but got 4\nlinha 59: Wrong indentation for "Step", expected indentation level of 2, but got 4\nlinha 60: Wrong indentation for "Step", expected indentation level of 2, but got 4\nlinha 60: Step "When I tap on button with text "ChainLink Token"" should not appear after step using keyword then\nlinha 61: Wrong indentation for "Step", expected indentation level of 2, but got 4\nlinha 62: Wrong indentation for "Step", expected indentation level of 2, but got 4\nlinha 63: Wrong indentation for "Step", expected indentation level of 2, but got 4\nlinha 64: Wrong indentation for "Step", expected indentation level of 2, but got 4\nlinha 65: Wrong indentation for "Step", expected indentation level of 2, but got 4\nlinha 65: Step "Then "Payment Request QR Code" is visible" should use And instead of Then\nlinha 66: Wrong indentation for "Step", expected indentation level of 2, but got 4\nlinha 67: Wrong indentation for "Step", expected indentation level of 2, but got 4\nlinha 69: Multiple empty lines are not allowed\nlinha 70: Multiple empty lines are not allowed\nlinha 71: Multiple empty lines are not allowed</t>
  </si>
  <si>
    <t>MetaMask_metamask-mobile\RequestTokenFlow_story_processado.txt</t>
  </si>
  <si>
    <t>MetaMask_metamask-mobile\RequestTokenFlow_story_processado_relatorio.txt</t>
  </si>
  <si>
    <t>MetaMask_metamask-mobile\SendEthGasApiDown_story_processado</t>
  </si>
  <si>
    <t>linha 3: Element Scenario too long: actual 20, expected 15\nlinha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11: Step name is too long. Length of 86 is longer than the maximum allowed: 70\nlinha 12: Wrong indentation for "Step", expected indentation level of 2, but got 4\nlinha 13: Wrong indentation for "Step", expected indentation level of 2, but got 4\nlinha 14: Wrong indentation for "Step", expected indentation level of 2, but got 4\nlinha 14: Step "When I type amount "1" into amount input field" should not appear after step using keyword then\nlinha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"When I tap Edit Gas link" should not appear after step using keyword then\nlinha 19: Wrong indentation for "Step", expected indentation level of 2, but got 4\nlinha 20: Wrong indentation for "Step", expected indentation level of 2, but got 4\nlinha 20: Step "When I tap Save Gas Values" should not appear after step using keyword then\nlinha 21: Wrong indentation for "Step", expected indentation level of 2, but got 4\nlinha 21: Step "When I tap button "Send" on Confirm Amount view" should not appear after step using keyword then\nlinha 21: Step "When I tap button "Send" on Confirm Amount view" should use And instead of When\nlinha 22: Wrong indentation for "Step", expected indentation level of 2, but got 4\nlinha 23: Wrong indentation for "Step", expected indentation level of 2, but got 4\nlinha 23: Step "When I tap on the Activity tab option" should not appear after step using keyword then\nlinha 24: Wrong indentation for "Step", expected indentation level of 2, but got 4\nlinha 26: Multiple empty lines are not allowed\nlinha 27: Multiple empty lines are not allowed</t>
  </si>
  <si>
    <t>MetaMask_metamask-mobile\SendEthGasApiDown_story_processado.txt</t>
  </si>
  <si>
    <t>MetaMask_metamask-mobile\SendEthGasApiDown_story_processado_relatorio.txt</t>
  </si>
  <si>
    <t>SFDigitalServices_sf-dahlia-web\custom_educator_listing_1_story_processado</t>
  </si>
  <si>
    <t>SFDigitalServices_sf-dahlia-web</t>
  </si>
  <si>
    <t>linha 3: Scenario name is too long. Length of 87 is longer than the maximum allowed: 70\nlinha 3: Element Scenario too long: actual 31, expected 15\nlinha 4: Wrong indentation for "Step", expected indentation level of 2, but got 4\nlinha 4: Step name is too long. Length of 76 is longer than the maximum allowed: 70\nlinha 5: Wrong indentation for "Step", expected indentation level of 2, but got 4\nlinha 6: Wrong indentation for "Step", expected indentation level of 2, but got 4\nlinha 6: Step name is too long. Length of 92 is longer than the maximum allowed: 70\nlinha 7: Wrong indentation for "Step", expected indentation level of 2, but got 4\nlinha 7: Step "When I answer "Yes" to the custom educator screening question" should not appear after step using keyword then\nlinha 8: Wrong indentation for "Step", expected indentation level of 2, but got 4\nlinha 8: Step name is too long. Length of 71 is longer than the maximum allowed: 70\nlinha 9: Wrong indentation for "Step", expected indentation level of 2, but got 4\nlinha 10: Wrong indentation for "Step", expected indentation level of 2, but got 4\nlinha 11: Wrong indentation for "Step", expected indentation level of 2, but got 4\nlinha 11: Step "When I fill out the Job Code field with a valid Job Classification Number" should not appear after step using keyword then\nlinha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73 is longer than the maximum allowed: 70\nlinha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31: Step name is too long. Length of 116 is longer than the maximum allowed: 70\nlinha 32: Wrong indentation for "Step", expected indentation level of 2, but got 4\nlinha 32: Step "When I confirm details on the review page" should not appear after step using keyword then\nlinha 33: Wrong indentation for "Step", expected indentation level of 2, but got 4\nlinha 33: Step "When I agree to the terms and submit" should not appear after step using keyword then\nlinha 33: Step "When I agree to the terms and submit" should use And instead of When\nlinha 34: Wrong indentation for "Step", expected indentation level of 2, but got 4\nlinha 36: Multiple empty lines are not allowed\nlinha 37: Multiple empty lines are not allowed\nlinha 38: Scenario name is too long. Length of 86 is longer than the maximum allowed: 70\nlinha 39: Wrong indentation for "Step", expected indentation level of 2, but got 4\nlinha 39: Step name is too long. Length of 76 is longer than the maximum allowed: 70\nlinha 40: Wrong indentation for "Step", expected indentation level of 2, but got 4\nlinha 41: Wrong indentation for "Step", expected indentation level of 2, but got 4\nlinha 41: Step name is too long. Length of 92 is longer than the maximum allowed: 70\nlinha 42: Wrong indentation for "Step", expected indentation level of 2, but got 4\nlinha 42: Step "When I answer "No" to the custom educator screening question" should not appear after step using keyword then\nlinha 43: Wrong indentation for "Step", expected indentation level of 2, but got 4\nlinha 43: Step "When I hit the Next button "1" times" should not appear after step using keyword then\nlinha 43: Step "When I hit the Next button "1" times" should use And instead of When\nlinha 44: Wrong indentation for "Step", expected indentation level of 2, but got 4\nlinha 44: Step name is too long. Length of 92 is longer than the maximum allowed: 70\nlinha 45: Wrong indentation for "Step", expected indentation level of 2, but got 4\nlinha 47: Multiple empty lines are not allowed\nlinha 48: Multiple empty lines are not allowed</t>
  </si>
  <si>
    <t>SFDigitalServices_sf-dahlia-web\custom_educator_listing_1_story_processado.txt</t>
  </si>
  <si>
    <t>SFDigitalServices_sf-dahlia-web\custom_educator_listing_1_story_processado_relatorio.txt</t>
  </si>
  <si>
    <t>SFDigitalServices_sf-dahlia-web\custom_educator_listing_2_story_processado</t>
  </si>
  <si>
    <t>linha 3: Scenario name is too long. Length of 87 is longer than the maximum allowed: 70\nlinha 3: Element Scenario too long: actual 31, expected 15\nlinha 4: Wrong indentation for "Step", expected indentation level of 2, but got 4\nlinha 4: Step name is too long. Length of 76 is longer than the maximum allowed: 70\nlinha 5: Wrong indentation for "Step", expected indentation level of 2, but got 4\nlinha 6: Wrong indentation for "Step", expected indentation level of 2, but got 4\nlinha 6: Step name is too long. Length of 92 is longer than the maximum allowed: 70\nlinha 7: Wrong indentation for "Step", expected indentation level of 2, but got 4\nlinha 7: Step "When I answer "Yes" to the custom educator screening question" should not appear after step using keyword then\nlinha 8: Wrong indentation for "Step", expected indentation level of 2, but got 4\nlinha 8: Step name is too long. Length of 71 is longer than the maximum allowed: 70\nlinha 9: Wrong indentation for "Step", expected indentation level of 2, but got 4\nlinha 10: Wrong indentation for "Step", expected indentation level of 2, but got 4\nlinha 11: Wrong indentation for "Step", expected indentation level of 2, but got 4\nlinha 11: Step "When I fill out the Job Code field with a valid Job Classification Number" should not appear after step using keyword then\nlinha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73 is longer than the maximum allowed: 70\nlinha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31: Step name is too long. Length of 116 is longer than the maximum allowed: 70\nlinha 32: Wrong indentation for "Step", expected indentation level of 2, but got 4\nlinha 32: Step "When I confirm details on the review page" should not appear after step using keyword then\nlinha 33: Wrong indentation for "Step", expected indentation level of 2, but got 4\nlinha 33: Step "When I agree to the terms and submit" should not appear after step using keyword then\nlinha 33: Step "When I agree to the terms and submit" should use And instead of When\nlinha 34: Wrong indentation for "Step", expected indentation level of 2, but got 4\nlinha 36: Multiple empty lines are not allowed\nlinha 37: Multiple empty lines are not allowed\nlinha 38: Scenario name is too long. Length of 86 is longer than the maximum allowed: 70\nlinha 38: Element Scenario too long: actual 28, expected 15\nlinha 39: Wrong indentation for "Step", expected indentation level of 2, but got 4\nlinha 39: Step name is too long. Length of 76 is longer than the maximum allowed: 70\nlinha 40: Wrong indentation for "Step", expected indentation level of 2, but got 4\nlinha 41: Wrong indentation for "Step", expected indentation level of 2, but got 4\nlinha 41: Step name is too long. Length of 92 is longer than the maximum allowed: 70\nlinha 42: Wrong indentation for "Step", expected indentation level of 2, but got 4\nlinha 42: Step "When I answer "No" to the custom educator screening question" should not appear after step using keyword then\nlinha 43: Wrong indentation for "Step", expected indentation level of 2, but got 4\nlinha 44: Wrong indentation for "Step", expected indentation level of 2, but got 4\nlinha 44: Step "When I hit the Next button "1" times" should not appear after step using keyword then\nlinha 45: Wrong indentation for "Step", expected indentation level of 2, but got 4\nlinha 46: Wrong indentation for "Step", expected indentation level of 2, but got 4\nlinha 47: Wrong indentation for "Step", expected indentation level of 2, but got 4\nlinha 47: Step name is too long. Length of 73 is longer than the maximum allowed: 70\nlinha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53: Wrong indentation for "Step", expected indentation level of 2, but got 4\nlinha 54: Wrong indentation for "Step", expected indentation level of 2, but got 4\nlinha 55: Wrong indentation for "Step", expected indentation level of 2, but got 4\nlinha 56: Wrong indentation for "Step", expected indentation level of 2, but got 4\nlinha 57: Wrong indentation for "Step", expected indentation level of 2, but got 4\nlinha 58: Wrong indentation for "Step", expected indentation level of 2, but got 4\nlinha 59: Wrong indentation for "Step", expected indentation level of 2, but got 4\nlinha 60: Wrong indentation for "Step", expected indentation level of 2, but got 4\nlinha 61: Wrong indentation for "Step", expected indentation level of 2, but got 4\nlinha 62: Wrong indentation for "Step", expected indentation level of 2, but got 4\nlinha 63: Wrong indentation for "Step", expected indentation level of 2, but got 4\nlinha 63: Step name is too long. Length of 87 is longer than the maximum allowed: 70\nlinha 64: Wrong indentation for "Step", expected indentation level of 2, but got 4\nlinha 64: Step "When I confirm details on the review page" should not appear after step using keyword then\nlinha 65: Wrong indentation for "Step", expected indentation level of 2, but got 4\nlinha 66: Wrong indentation for "Step", expected indentation level of 2, but got 4\nlinha 68: Multiple empty lines are not allowed\nlinha 69: Multiple empty lines are not allowed</t>
  </si>
  <si>
    <t>SFDigitalServices_sf-dahlia-web\custom_educator_listing_2_story_processado.txt</t>
  </si>
  <si>
    <t>SFDigitalServices_sf-dahlia-web\custom_educator_listing_2_story_processado_relatorio.txt</t>
  </si>
  <si>
    <t>SFDigitalServices_sf-dahlia-web\nrhp_story_processado</t>
  </si>
  <si>
    <t>linha 3: Scenario name is too long. Length of 78 is longer than the maximum allowed: 70\nlinha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73 is longer than the maximum allowed: 70\nlinha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16: Step name is too long. Length of 77 is longer than the maximum allowed: 70\nlinha 18: Multiple empty lines are not allowed\nlinha 19: Multiple empty lines are not allowed\nlinha 20: Scenario name is too long. Length of 73 is longer than the maximum allowed: 70\nlinha 20: Element Scenario too long: actual 40, expected 15\nlinha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27: Step name is too long. Length of 77 is longer than the maximum allowed: 70\nlinha 28: Wrong indentation for "Step", expected indentation level of 2, but got 4\nlinha 29: Wrong indentation for "Step", expected indentation level of 2, but got 4\nlinha 29: Step name is too long. Length of 77 is longer than the maximum allowed: 70\nlinha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38: Step "When I click the Live in the Neighborhood checkbox" should not appear after step using keyword then\nlinha 39: Wrong indentation for "Step", expected indentation level of 2, but got 4\nlinha 39: Step name is too long. Length of 83 is longer than the maximum allowed: 70\nlinha 40: Wrong indentation for "Step", expected indentation level of 2, but got 4\nlinha 40: Step "When I select "Jonny Doe" for "neighborhoodResidence" preference" should not appear after step using keyword then\nlinha 41: Wrong indentation for "Step", expected indentation level of 2, but got 4\nlinha 42: Wrong indentation for "Step", expected indentation level of 2, but got 4\nlinha 43: Wrong indentation for "Step", expected indentation level of 2, but got 4\nlinha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48: Wrong indentation for "Step", expected indentation level of 2, but got 4\nlinha 49: Wrong indentation for "Step", expected indentation level of 2, but got 4\nlinha 50: Wrong indentation for "Step", expected indentation level of 2, but got 4\nlinha 50: Step "When I click the Live in the Neighborhood checkbox" should not appear after step using keyword then\nlinha 51: Wrong indentation for "Step", expected indentation level of 2, but got 4\nlinha 51: Step name is too long. Length of 83 is longer than the maximum allowed: 70\nlinha 52: Wrong indentation for "Step", expected indentation level of 2, but got 4\nlinha 52: Step "When I click the Live in the Neighborhood checkbox" should not appear after step using keyword then\nlinha 53: Wrong indentation for "Step", expected indentation level of 2, but got 4\nlinha 53: Step "When I select "Jeremy Doe" for "neighborhoodResidence" preference" should not appear after step using keyword then\nlinha 53: Step "When I select "Jeremy Doe" for "neighborhoodResidence" preference" should use And instead of When\nlinha 54: Wrong indentation for "Step", expected indentation level of 2, but got 4\nlinha 54: Step name is too long. Length of 80 is longer than the maximum allowed: 70\nlinha 55: Wrong indentation for "Step", expected indentation level of 2, but got 4\nlinha 56: Wrong indentation for "Step", expected indentation level of 2, but got 4\nlinha 57: Wrong indentation for "Step", expected indentation level of 2, but got 4\nlinha 58: Wrong indentation for "Step", expected indentation level of 2, but got 4\nlinha 59: Wrong indentation for "Step", expected indentation level of 2, but got 4\nlinha 60: Wrong indentation for "Step", expected indentation level of 2, but got 4\nlinha 60: Step name is too long. Length of 91 is longer than the maximum allowed: 70\nlinha 62: Multiple empty lines are not allowed\nlinha 63: Multiple empty lines are not allowed</t>
  </si>
  <si>
    <t>SFDigitalServices_sf-dahlia-web\nrhp_story_processado.txt</t>
  </si>
  <si>
    <t>SFDigitalServices_sf-dahlia-web\nrhp_story_processado_relatorio.txt</t>
  </si>
  <si>
    <t>SFDigitalServices_sf-dahlia-web\sign_in_while_applying_story_processado</t>
  </si>
  <si>
    <t>linha 4: Wrong indentation for "Step", expected indentation level of 2, but got 4\nlinha 4: Step name is too long. Length of 72 is longer than the maximum allowed: 70\nlinha 5: Wrong indentation for "Step", expected indentation level of 2, but got 4\nlinha 7: Multiple empty lines are not allowed\nlinha 8: Multiple empty lines are not allowed\nlinha 9: Scenario name is too long. Length of 98 is longer than the maximum allowed: 70\nlinha 9: Element Scenario too long: actual 21, expected 15\nlinha 10: Wrong indentation for "Step", expected indentation level of 2, but got 4\nlinha 11: Wrong indentation for "Step", expected indentation level of 2, but got 4\nlinha 12: Wrong indentation for "Step", expected indentation level of 2, but got 4\nlinha 12: Step name is too long. Length of 82 is longer than the maximum allowed: 70\nlinha 13: Wrong indentation for "Step", expected indentation level of 2, but got 4\nlinha 13: Step "When I wait "1" seconds" should not appear after step using keyword then\nlinha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name is too long. Length of 82 is longer than the maximum allowed: 70\nlinha 19: Wrong indentation for "Step", expected indentation level of 2, but got 4\nlinha 19: Step "When I choose to reconcile my application details by creating a new account" should not appear after step using keyword then\nlinha 20: Wrong indentation for "Step", expected indentation level of 2, but got 4\nlinha 21: Wrong indentation for "Step", expected indentation level of 2, but got 4\nlinha 21: Step name is too long. Length of 153 is longer than the maximum allowed: 70\nlinha 22: Wrong indentation for "Step", expected indentation level of 2, but got 4\nlinha 22: Step "When I create an account for "Octavia Butler"" should not appear after step using keyword then\nlinha 23: Wrong indentation for "Step", expected indentation level of 2, but got 4\nlinha 24: Wrong indentation for "Step", expected indentation level of 2, but got 4\nlinha 25: Wrong indentation for "Step", expected indentation level of 2, but got 4\nlinha 25: Step "When I wait "1" seconds" should not appear after step using keyword then\nlinha 25: Step "When I wait "1" seconds" should use And instead of When\nlinha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29: Step name is too long. Length of 77 is longer than the maximum allowed: 70\nlinha 30: Wrong indentation for "Step", expected indentation level of 2, but got 4\nlinha 32: Multiple empty lines are not allowed\nlinha 33: Multiple empty lines are not allowed\nlinha 34: Scenario name is too long. Length of 98 is longer than the maximum allowed: 70\nlinha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40: Step name is too long. Length of 82 is longer than the maximum allowed: 70\nlinha 41: Wrong indentation for "Step", expected indentation level of 2, but got 4\nlinha 41: Step "When I choose to reconcile my application details by continuing without an account" should not appear after step using keyword then\nlinha 41: Step name is too long. Length of 77 is longer than the maximum allowed: 70\nlinha 42: Wrong indentation for "Step", expected indentation level of 2, but got 4\nlinha 44: Multiple empty lines are not allowed\nlinha 45: Multiple empty lines are not allowed\nlinha 47: Wrong indentation for "Step", expected indentation level of 2, but got 4\nlinha 48: Wrong indentation for "Step", expected indentation level of 2, but got 4\nlinha 49: Wrong indentation for "Step", expected indentation level of 2, but got 4\nlinha 50: Wrong indentation for "Step", expected indentation level of 2, but got 4\nlinha 50: Step "When I sign in as "Alice Walker" with my email pre-filled" should not appear after step using keyword then\nlinha 51: Wrong indentation for "Step", expected indentation level of 2, but got 4\nlinha 52: Wrong indentation for "Step", expected indentation level of 2, but got 4\nlinha 53: Wrong indentation for "Step", expected indentation level of 2, but got 4\nlinha 54: Wrong indentation for "Step", expected indentation level of 2, but got 4\nlinha 54: Step name is too long. Length of 75 is longer than the maximum allowed: 70\nlinha 55: Wrong indentation for "Step", expected indentation level of 2, but got 4\nlinha 55: Step "When I go to the "My Applications" page" should not appear after step using keyword then\nlinha 56: Wrong indentation for "Step", expected indentation level of 2, but got 4\nlinha 57: Wrong indentation for "Step", expected indentation level of 2, but got 4\nlinha 59: Multiple empty lines are not allowed\nlinha 60: Multiple empty lines are not allowed\nlinha 62: Wrong indentation for "Step", expected indentation level of 2, but got 4\nlinha 63: Wrong indentation for "Step", expected indentation level of 2, but got 4\nlinha 64: Wrong indentation for "Step", expected indentation level of 2, but got 4\nlinha 65: Wrong indentation for "Step", expected indentation level of 2, but got 4\nlinha 66: Wrong indentation for "Step", expected indentation level of 2, but got 4\nlinha 66: Step name is too long. Length of 106 is longer than the maximum allowed: 70\nlinha 67: Wrong indentation for "Step", expected indentation level of 2, but got 4\nlinha 67: Step "Then I hit the Next button "1" time" should use And instead of Then\nlinha 68: Wrong indentation for "Step", expected indentation level of 2, but got 4\nlinha 69: Wrong indentation for "Step", expected indentation level of 2, but got 4\nlinha 70: Wrong indentation for "Step", expected indentation level of 2, but got 4\nlinha 72: Multiple empty lines are not allowed\nlinha 73: Multiple empty lines are not allowed\nlinha 74: Scenario name is too long. Length of 75 is longer than the maximum allowed: 70\nlinha 75: Wrong indentation for "Step", expected indentation level of 2, but got 4\nlinha 76: Wrong indentation for "Step", expected indentation level of 2, but got 4\nlinha 77: Wrong indentation for "Step", expected indentation level of 2, but got 4\nlinha 78: Wrong indentation for "Step", expected indentation level of 2, but got 4\nlinha 79: Wrong indentation for "Step", expected indentation level of 2, but got 4\nlinha 79: Step "When I choose to continue my saved draft" should not appear after step using keyword then\nlinha 80: Wrong indentation for "Step", expected indentation level of 2, but got 4\nlinha 81: Wrong indentation for "Step", expected indentation level of 2, but got 4\nlinha 82: Wrong indentation for "Step", expected indentation level of 2, but got 4\nlinha 84: Multiple empty lines are not allowed\nlinha 85: Multiple empty lines are not allowed\nlinha 86: Scenario name is too long. Length of 80 is longer than the maximum allowed: 70\nlinha 87: Wrong indentation for "Step", expected indentation level of 2, but got 4\nlinha 88: Wrong indentation for "Step", expected indentation level of 2, but got 4\nlinha 89: Wrong indentation for "Step", expected indentation level of 2, but got 4\nlinha 90: Wrong indentation for "Step", expected indentation level of 2, but got 4\nlinha 91: Wrong indentation for "Step", expected indentation level of 2, but got 4\nlinha 92: Wrong indentation for "Step", expected indentation level of 2, but got 4\nlinha 92: Step "Then I should be on the "Name" page of the application" should use And instead of Then\nlinha 93: Wrong indentation for "Step", expected indentation level of 2, but got 4\nlinha 93: Step "When I submit the Name page with my account info" should not appear after step using keyword then\nlinha 94: Wrong indentation for "Step", expected indentation level of 2, but got 4\nlinha 95: Wrong indentation for "Step", expected indentation level of 2, but got 4\nlinha 97: Multiple empty lines are not allowed\nlinha 98: Multiple empty lines are not allowed\nlinha 99: Scenario name is too long. Length of 97 is longer than the maximum allowed: 70\nlinha 100: Wrong indentation for "Step", expected indentation level of 2, but got 4\nlinha 101: Wrong indentation for "Step", expected indentation level of 2, but got 4\nlinha 101: Step name is too long. Length of 71 is longer than the maximum allowed: 70\nlinha 102: Wrong indentation for "Step", expected indentation level of 2, but got 4\nlinha 103: Wrong indentation for "Step", expected indentation level of 2, but got 4\nlinha 104: Wrong indentation for "Step", expected indentation level of 2, but got 4\nlinha 105: Wrong indentation for "Step", expected indentation level of 2, but got 4\nlinha 106: Wrong indentation for "Step", expected indentation level of 2, but got 4\nlinha 107: Wrong indentation for "Step", expected indentation level of 2, but got 4\nlinha 107: Step "When I select my original application and submit" should not appear after step using keyword then\nlinha 108: Wrong indentation for "Step", expected indentation level of 2, but got 4\nlinha 109: Wrong indentation for "Step", expected indentation level of 2, but got 4\nlinha 111: Multiple empty lines are not allowed\nlinha 112: Multiple empty lines are not allowed\nlinha 113: Scenario name is too long. Length of 94 is longer than the maximum allowed: 70\nlinha 114: Wrong indentation for "Step", expected indentation level of 2, but got 4\nlinha 115: Wrong indentation for "Step", expected indentation level of 2, but got 4\nlinha 116: Wrong indentation for "Step", expected indentation level of 2, but got 4\nlinha 117: Wrong indentation for "Step", expected indentation level of 2, but got 4\nlinha 118: Wrong indentation for "Step", expected indentation level of 2, but got 4\nlinha 119: Wrong indentation for "Step", expected indentation level of 2, but got 4\nlinha 119: Step "When I sign in as "Alice Walker" with my email pre-filled" should use And instead of When\nlinha 120: Wrong indentation for "Step", expected indentation level of 2, but got 4\nlinha 121: Wrong indentation for "Step", expected indentation level of 2, but got 4\nlinha 121: Step name is too long. Length of 77 is longer than the maximum allowed: 70\nlinha 122: Wrong indentation for "Step", expected indentation level of 2, but got 4\nlinha 123: Wrong indentation for "Step", expected indentation level of 2, but got 4\nlinha 124: Wrong indentation for "Step", expected indentation level of 2, but got 4\nlinha 126: Multiple empty lines are not allowed\nlinha 127: Multiple empty lines are not allowed\nlinha 128: Scenario name is too long. Length of 93 is longer than the maximum allowed: 70\nlinha 128: Element Scenario too long: actual 36, expected 15\nlinha 129: Wrong indentation for "Step", expected indentation level of 2, but got 4\nlinha 130: Wrong indentation for "Step", expected indentation level of 2, but got 4\nlinha 131: Wrong indentation for "Step", expected indentation level of 2, but got 4\nlinha 132: Wrong indentation for "Step", expected indentation level of 2, but got 4\nlinha 133: Wrong indentation for "Step", expected indentation level of 2, but got 4\nlinha 134: Wrong indentation for "Step", expected indentation level of 2, but got 4\nlinha 135: Wrong indentation for "Step", expected indentation level of 2, but got 4\nlinha 136: Wrong indentation for "Step", expected indentation level of 2, but got 4\nlinha 137: Wrong indentation for "Step", expected indentation level of 2, but got 4\nlinha 138: Wrong indentation for "Step", expected indentation level of 2, but got 4\nlinha 139: Wrong indentation for "Step", expected indentation level of 2, but got 4\nlinha 140: Wrong indentation for "Step", expected indentation level of 2, but got 4\nlinha 141: Wrong indentation for "Step", expected indentation level of 2, but got 4\nlinha 142: Wrong indentation for "Step", expected indentation level of 2, but got 4\nlinha 143: Wrong indentation for "Step", expected indentation level of 2, but got 4\nlinha 144: Wrong indentation for "Step", expected indentation level of 2, but got 4\nlinha 145: Wrong indentation for "Step", expected indentation level of 2, but got 4\nlinha 146: Wrong indentation for "Step", expected indentation level of 2, but got 4\nlinha 147: Wrong indentation for "Step", expected indentation level of 2, but got 4\nlinha 147: Step name is too long. Length of 153 is longer than the maximum allowed: 70\nlinha 148: Wrong indentation for "Step", expected indentation level of 2, but got 4\nlinha 148: Step "When I create an account for "Alice Walker"" should not appear after step using keyword then\nlinha 149: Wrong indentation for "Step", expected indentation level of 2, but got 4\nlinha 150: Wrong indentation for "Step", expected indentation level of 2, but got 4\nlinha 150: Step "When I create an account for "Harper Lee"" should not appear after step using keyword then\nlinha 151: Wrong indentation for "Step", expected indentation level of 2, but got 4\nlinha 152: Wrong indentation for "Step", expected indentation level of 2, but got 4\nlinha 153: Wrong indentation for "Step", expected indentation level of 2, but got 4\nlinha 154: Wrong indentation for "Step", expected indentation level of 2, but got 4\nlinha 155: Wrong indentation for "Step", expected indentation level of 2, but got 4\nlinha 156: Wrong indentation for "Step", expected indentation level of 2, but got 4\nlinha 157: Wrong indentation for "Step", expected indentation level of 2, but got 4\nlinha 158: Wrong indentation for "Step", expected indentation level of 2, but got 4\nlinha 158: Step name is too long. Length of 73 is longer than the maximum allowed: 70\nlinha 159: Wrong indentation for "Step", expected indentation level of 2, but got 4\nlinha 160: Wrong indentation for "Step", expected indentation level of 2, but got 4\nlinha 160: Step "When I hit the Next button "1" time" should not appear after step using keyword then\nlinha 161: Wrong indentation for "Step", expected indentation level of 2, but got 4\nlinha 162: Wrong indentation for "Step", expected indentation level of 2, but got 4\nlinha 163: Wrong indentation for "Step", expected indentation level of 2, but got 4\nlinha 164: Wrong indentation for "Step", expected indentation level of 2, but got 4\nlinha 166: Multiple empty lines are not allowed\nlinha 167: Multiple empty lines are not allowed\nlinha 168: Scenario name is too long. Length of 92 is longer than the maximum allowed: 70\nlinha 168: Element Scenario too long: actual 41, expected 15\nlinha 169: Wrong indentation for "Step", expected indentation level of 2, but got 4\nlinha 170: Wrong indentation for "Step", expected indentation level of 2, but got 4\nlinha 171: Wrong indentation for "Step", expected indentation level of 2, but got 4\nlinha 172: Wrong indentation for "Step", expected indentation level of 2, but got 4\nlinha 172: Step name is too long. Length of 73 is longer than the maximum allowed: 70\nlinha 173: Wrong indentation for "Step", expected indentation level of 2, but got 4\nlinha 174: Wrong indentation for "Step", expected indentation level of 2, but got 4\nlinha 175: Wrong indentation for "Step", expected indentation level of 2, but got 4\nlinha 176: Wrong indentation for "Step", expected indentation level of 2, but got 4\nlinha 177: Wrong indentation for "Step", expected indentation level of 2, but got 4\nlinha 178: Wrong indentation for "Step", expected indentation level of 2, but got 4\nlinha 179: Wrong indentation for "Step", expected indentation level of 2, but got 4\nlinha 180: Wrong indentation for "Step", expected indentation level of 2, but got 4\nlinha 181: Wrong indentation for "Step", expected indentation level of 2, but got 4\nlinha 182: Wrong indentation for "Step", expected indentation level of 2, but got 4\nlinha 183: Wrong indentation for "Step", expected indentation level of 2, but got 4\nlinha 184: Wrong indentation for "Step", expected indentation level of 2, but got 4\nlinha 185: Wrong indentation for "Step", expected indentation level of 2, but got 4\nlinha 186: Wrong indentation for "Step", expected indentation level of 2, but got 4\nlinha 187: Wrong indentation for "Step", expected indentation level of 2, but got 4\nlinha 188: Wrong indentation for "Step", expected indentation level of 2, but got 4\nlinha 188: Step "When I select my recent application and submit" should not appear after step using keyword then\nlinha 189: Wrong indentation for "Step", expected indentation level of 2, but got 4\nlinha 190: Wrong indentation for "Step", expected indentation level of 2, but got 4\nlinha 190: Step "When I choose to reconcile my application details by changing them to match my account details" should not appear after step using keyword then\nlinha 190: Step name is too long. Length of 89 is longer than the maximum allowed: 70\nlinha 191: Wrong indentation for "Step", expected indentation level of 2, but got 4\nlinha 192: Wrong indentation for "Step", expected indentation level of 2, but got 4\nlinha 193: Wrong indentation for "Step", expected indentation level of 2, but got 4\nlinha 194: Wrong indentation for "Step", expected indentation level of 2, but got 4\nlinha 194: Step "When I navigate to the "You" section" should not appear after step using keyword then\nlinha 195: Wrong indentation for "Step", expected indentation level of 2, but got 4\nlinha 195: Step name is too long. Length of 75 is longer than the maximum allowed: 70\nlinha 196: Wrong indentation for "Step", expected indentation level of 2, but got 4\nlinha 196: Step "When I hit the Next button "2" times" should not appear after step using keyword then\nlinha 197: Wrong indentation for "Step", expected indentation level of 2, but got 4\nlinha 198: Wrong indentation for "Step", expected indentation level of 2, but got 4\nlinha 199: Wrong indentation for "Step", expected indentation level of 2, but got 4\nlinha 200: Wrong indentation for "Step", expected indentation level of 2, but got 4\nlinha 200: Step "When I opt out of "Assisted Housing" preference" should not appear after step using keyword then\nlinha 201: Wrong indentation for "Step", expected indentation level of 2, but got 4\nlinha 202: Wrong indentation for "Step", expected indentation level of 2, but got 4\nlinha 203: Wrong indentation for "Step", expected indentation level of 2, but got 4\nlinha 204: Wrong indentation for "Step", expected indentation level of 2, but got 4\nlinha 205: Wrong indentation for "Step", expected indentation level of 2, but got 4\nlinha 206: Wrong indentation for "Step", expected indentation level of 2, but got 4\nlinha 207: Wrong indentation for "Step", expected indentation level of 2, but got 4\nlinha 208: Wrong indentation for "Step", expected indentation level of 2, but got 4\nlinha 209: Wrong indentation for "Step", expected indentation level of 2, but got 4\nlinha 211: Multiple empty lines are not allowed\nlinha 212: Multiple empty lines are not allowed\nlinha 213: Scenario name is too long. Length of 73 is longer than the maximum allowed: 70\nlinha 214: Wrong indentation for "Step", expected indentation level of 2, but got 4\nlinha 215: Wrong indentation for "Step", expected indentation level of 2, but got 4\nlinha 216: Wrong indentation for "Step", expected indentation level of 2, but got 4\nlinha 217: Wrong indentation for "Step", expected indentation level of 2, but got 4\nlinha 218: Wrong indentation for "Step", expected indentation level of 2, but got 4\nlinha 218: Step name is too long. Length of 91 is longer than the maximum allowed: 70\nlinha 219: Wrong indentation for "Step", expected indentation level of 2, but got 4\nlinha 220: Wrong indentation for "Step", expected indentation level of 2, but got 4\nlinha 222: Multiple empty lines are not allowed\nlinha 223: Multiple empty lines are not allowed</t>
  </si>
  <si>
    <t>SFDigitalServices_sf-dahlia-web\sign_in_while_applying_story_processado.txt</t>
  </si>
  <si>
    <t>SFDigitalServices_sf-dahlia-web\sign_in_while_applying_story_processado_relatorio.txt</t>
  </si>
  <si>
    <t>Sylius_Sylius\choosing_province_for_country_story_processado</t>
  </si>
  <si>
    <t>Sylius_Sylius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</si>
  <si>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8: Step name is too long. Length of 102 is longer than the maximum allowed: 70\nlinha 9: Wrong indentation for "Step", expected indentation level of 2, but got 4\nlinha 10: Wrong indentation for "Step", expected indentation level of 2, but got 4\nlinha 11: Wrong indentation for "Step", expected indentation level of 2, but got 4\nlinha 13: Multiple empty lines are not allowed\nlinha 14: Multiple empty lines are not allowed\nlinha 15: Scenario name is too long. Length of 113 is longer than the maximum allowed: 70\nlinha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114 is longer than the maximum allowed: 70\nlinha 21: Wrong indentation for "Step", expected indentation level of 2, but got 4\nlinha 21: Step name is too long. Length of 103 is longer than the maximum allowed: 70\nlinha 22: Wrong indentation for "Step", expected indentation level of 2, but got 4\nlinha 23: Wrong indentation for "Step", expected indentation level of 2, but got 4\nlinha 24: Wrong indentation for "Step", expected indentation level of 2, but got 4\nlinha 26: Multiple empty lines are not allowed\nlinha 27: Multiple empty lines are not allowed\nlinha 28: Scenario name is too long. Length of 110 is longer than the maximum allowed: 70\nlinha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33: Step name is too long. Length of 102 is longer than the maximum allowed: 70\nlinha 34: Wrong indentation for "Step", expected indentation level of 2, but got 4\nlinha 35: Wrong indentation for "Step", expected indentation level of 2, but got 4\nlinha 35: Step name is too long. Length of 103 is longer than the maximum allowed: 70\nlinha 36: Wrong indentation for "Step", expected indentation level of 2, but got 4\nlinha 37: Wrong indentation for "Step", expected indentation level of 2, but got 4\nlinha 38: Wrong indentation for "Step", expected indentation level of 2, but got 4\nlinha 40: Multiple empty lines are not allowed\nlinha 41: Multiple empty lines are not allowed\nlinha 42: Scenario name is too long. Length of 95 is longer than the maximum allowed: 70\nlinha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47: Step name is too long. Length of 114 is longer than the maximum allowed: 70\nlinha 48: Wrong indentation for "Step", expected indentation level of 2, but got 4\nlinha 49: Wrong indentation for "Step", expected indentation level of 2, but got 4\nlinha 50: Wrong indentation for "Step", expected indentation level of 2, but got 4\nlinha 50: Step name is too long. Length of 74 is longer than the maximum allowed: 70\nlinha 51: Wrong indentation for "Step", expected indentation level of 2, but got 4\nlinha 53: Multiple empty lines are not allowed\nlinha 54: Multiple empty lines are not allowed</t>
  </si>
  <si>
    <t>Sylius_Sylius\choosing_province_for_country_story_processado.txt</t>
  </si>
  <si>
    <t>Sylius_Sylius\choosing_province_for_country_story_processado_relatorio.txt</t>
  </si>
  <si>
    <t>Sylius_Sylius\returning_from_addressing_step_to_shop_homepage_story_processado</t>
  </si>
  <si>
    <t>linha 1: Feature name is too long. Length of 64 is longer than the maximum allowed: 50\nlinha 5: Wrong indentation for "Step", expected indentation level of 2, but got 4\nlinha 6: Wrong indentation for "Step", expected indentation level of 2, but got 4\nlinha 7: Wrong indentation for "Step", expected indentation level of 2, but got 4\nlinha 7: Step "When I go back to store" should use And instead of When\nlinha 8: Wrong indentation for "Step", expected indentation level of 2, but got 4\nlinha 10: Multiple empty lines are not allowed\nlinha 11: Multiple empty lines are not allowed</t>
  </si>
  <si>
    <t>Sylius_Sylius\returning_from_addressing_step_to_shop_homepage_story_processado.txt</t>
  </si>
  <si>
    <t>Sylius_Sylius\returning_from_addressing_step_to_shop_homepage_story_processado_relatorio.txt</t>
  </si>
  <si>
    <t>Sylius_Sylius\seeing_shipping_method_when_all_units_match_to_shipping_category_story_processado</t>
  </si>
  <si>
    <t>linha 1: Feature name is too long. Length of 81 is longer than the maximum allowed: 50\nlinha 3: Scenario name is too long. Length of 80 is longer than the maximum allowed: 70\nlinha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12: Multiple empty lines are not allowed\nlinha 13: Multiple empty lines are not allowed\nlinha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22: Multiple empty lines are not allowed\nlinha 23: Multiple empty lines are not allowed\nlinha 24: Scenario name is too long. Length of 79 is longer than the maximum allowed: 70\nlinha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32: Multiple empty lines are not allowed\nlinha 33: Multiple empty lines are not allowed\nlinha 34: Scenario name is too long. Length of 85 is longer than the maximum allowed: 70\nlinha 36: Wrong indentation for "Step", expected indentation level of 2, but got 4\nlinha 36: Step name is too long. Length of 79 is longer than the maximum allowed: 70\nlinha 37: Wrong indentation for "Step", expected indentation level of 2, but got 4\nlinha 37: Step name is too long. Length of 81 is longer than the maximum allowed: 70\nlinha 38: Wrong indentation for "Step", expected indentation level of 2, but got 4\nlinha 38: Step name is too long. Length of 73 is longer than the maximum allowed: 70\nlinha 39: Wrong indentation for "Step", expected indentation level of 2, but got 4\nlinha 39: Step name is too long. Length of 73 is longer than the maximum allowed: 70\nlinha 40: Wrong indentation for "Step", expected indentation level of 2, but got 4\nlinha 41: Wrong indentation for "Step", expected indentation level of 2, but got 4\nlinha 42: Wrong indentation for "Step", expected indentation level of 2, but got 4\nlinha 44: Multiple empty lines are not allowed\nlinha 45: Multiple empty lines are not allowed\nlinha 46: Scenario name is too long. Length of 78 is longer than the maximum allowed: 70\nlinha 48: Wrong indentation for "Step", expected indentation level of 2, but got 4\nlinha 48: Step name is too long. Length of 79 is longer than the maximum allowed: 70\nlinha 49: Wrong indentation for "Step", expected indentation level of 2, but got 4\nlinha 49: Step name is too long. Length of 79 is longer than the maximum allowed: 70\nlinha 50: Wrong indentation for "Step", expected indentation level of 2, but got 4\nlinha 50: Step name is too long. Length of 73 is longer than the maximum allowed: 70\nlinha 51: Wrong indentation for "Step", expected indentation level of 2, but got 4\nlinha 51: Step name is too long. Length of 73 is longer than the maximum allowed: 70\nlinha 52: Wrong indentation for "Step", expected indentation level of 2, but got 4\nlinha 53: Wrong indentation for "Step", expected indentation level of 2, but got 4\nlinha 54: Wrong indentation for "Step", expected indentation level of 2, but got 4\nlinha 55: Wrong indentation for "Step", expected indentation level of 2, but got 4\nlinha 57: Multiple empty lines are not allowed\nlinha 58: Multiple empty lines are not allowed</t>
  </si>
  <si>
    <t>Sylius_Sylius\seeing_shipping_method_when_all_units_match_to_shipping_category_story_processado.txt</t>
  </si>
  <si>
    <t>Sylius_Sylius\seeing_shipping_method_when_all_units_match_to_shipping_category_story_processado_relatorio.txt</t>
  </si>
  <si>
    <t>Sylius_Sylius\sorting_payment_methods_by_position_story_processado</t>
  </si>
  <si>
    <t>linha 1: Feature name is too long. Length of 52 is longer than the maximum allowed: 50\nlinha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8: Step name is too long. Length of 71 is longer than the maximum allowed: 70\nlinha 10: Multiple empty lines are not allowed\nlinha 11: Multiple empty lines are not allowed\nlinha 14: Wrong indentation for "Step", expected indentation level of 2, but got 4\nlinha 15: Wrong indentation for "Step", expected indentation level of 2, but got 4\nlinha 16: Wrong indentation for "Step", expected indentation level of 2, but got 4\nlinha 18: Multiple empty lines are not allowed\nlinha 19: Multiple empty lines are not allowed\nlinha 22: Wrong indentation for "Step", expected indentation level of 2, but got 4\nlinha 23: Wrong indentation for "Step", expected indentation level of 2, but got 4\nlinha 24: Wrong indentation for "Step", expected indentation level of 2, but got 4\nlinha 26: Multiple empty lines are not allowed\nlinha 27: Multiple empty lines are not allowed</t>
  </si>
  <si>
    <t>Sylius_Sylius\sorting_payment_methods_by_position_story_processado.txt</t>
  </si>
  <si>
    <t>Sylius_Sylius\sorting_payment_methods_by_position_story_processado_relatorio.txt</t>
  </si>
  <si>
    <t>alphagov_whitehall\policy-groups_story_processado</t>
  </si>
  <si>
    <t>alphagov_whitehall</t>
  </si>
  <si>
    <t>linha 3: Trailing spaces are not allowed\nlinha 3: Missing Scenario name\nlinha 5: Wrong indentation for "Step", expected indentation level of 2, but got 4\nlinha 6: Wrong indentation for "Step", expected indentation level of 2, but got 4\nlinha 8: Multiple empty lines are not allowed\nlinha 9: Multiple empty lines are not allowed\nlinha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16: Multiple empty lines are not allowed\nlinha 17: Multiple empty lines are not allowed</t>
  </si>
  <si>
    <t>alphagov_whitehall\policy-groups_story_processado.txt</t>
  </si>
  <si>
    <t>alphagov_whitehall\policy-groups_story_processado_relatorio.txt</t>
  </si>
  <si>
    <t>alphagov_whitehall\review_reminder_story_processado</t>
  </si>
  <si>
    <t>linha 4: Wrong indentation for "Step", expected indentation level of 2, but got 4\nlinha 5: Wrong indentation for "Step", expected indentation level of 2, but got 4\nlinha 5: Step name is too long. Length of 89 is longer than the maximum allowed: 70\nlinha 6: Wrong indentation for "Step", expected indentation level of 2, but got 4\nlinha 6: Step name is too long. Length of 76 is longer than the maximum allowed: 70\nlinha 8: Multiple empty lines are not allowed\nlinha 9: Multiple empty lines are not allowed\nlinha 11: Wrong indentation for "Step", expected indentation level of 2, but got 4\nlinha 12: Wrong indentation for "Step", expected indentation level of 2, but got 4\nlinha 12: Step name is too long. Length of 93 is longer than the maximum allowed: 70\nlinha 13: Wrong indentation for "Step", expected indentation level of 2, but got 4\nlinha 13: Step name is too long. Length of 72 is longer than the maximum allowed: 70\nlinha 14: Wrong indentation for "Step", expected indentation level of 2, but got 4\nlinha 14: Step name is too long. Length of 76 is longer than the maximum allowed: 70\nlinha 16: Multiple empty lines are not allowed\nlinha 17: Multiple empty lines are not allowed\nlinha 19: Wrong indentation for "Step", expected indentation level of 2, but got 4\nlinha 20: Wrong indentation for "Step", expected indentation level of 2, but got 4\nlinha 20: Step name is too long. Length of 78 is longer than the maximum allowed: 70\nlinha 21: Wrong indentation for "Step", expected indentation level of 2, but got 4\nlinha 21: Step name is too long. Length of 94 is longer than the maximum allowed: 70\nlinha 22: Wrong indentation for "Step", expected indentation level of 2, but got 4\nlinha 23: Wrong indentation for "Step", expected indentation level of 2, but got 4\nlinha 23: Step name is too long. Length of 76 is longer than the maximum allowed: 70\nlinha 25: Multiple empty lines are not allowed\nlinha 26: Multiple empty lines are not allowed\nlinha 28: Wrong indentation for "Step", expected indentation level of 2, but got 4\nlinha 29: Wrong indentation for "Step", expected indentation level of 2, but got 4\nlinha 29: Step name is too long. Length of 78 is longer than the maximum allowed: 70\nlinha 30: Wrong indentation for "Step", expected indentation level of 2, but got 4\nlinha 30: Step name is too long. Length of 94 is longer than the maximum allowed: 70\nlinha 31: Wrong indentation for "Step", expected indentation level of 2, but got 4\nlinha 31: Step name is too long. Length of 82 is longer than the maximum allowed: 70\nlinha 32: Wrong indentation for "Step", expected indentation level of 2, but got 4\nlinha 32: Step "When I delete the review date" should not appear after step using keyword then\nlinha 33: Wrong indentation for "Step", expected indentation level of 2, but got 4\nlinha 35: Multiple empty lines are not allowed\nlinha 36: Multiple empty lines are not allowed</t>
  </si>
  <si>
    <t>alphagov_whitehall\review_reminder_story_processado.txt</t>
  </si>
  <si>
    <t>alphagov_whitehall\review_reminder_story_processado_relatorio.txt</t>
  </si>
  <si>
    <t>alphagov_whitehall\topical_events_story_processado</t>
  </si>
  <si>
    <t>linha 4: Wrong indentation for "Step", expected indentation level of 2, but got 4\nlinha 4: Step name is too long. Length of 113 is longer than the maximum allowed: 70\nlinha 5: Wrong indentation for "Step", expected indentation level of 2, but got 4\nlinha 7: Multiple empty lines are not allowed\nlinha 8: Multiple empty lines are not allowed\nlinha 10: Wrong indentation for "Step", expected indentation level of 2, but got 4\nlinha 10: Step name is too long. Length of 128 is longer than the maximum allowed: 70\nlinha 11: Wrong indentation for "Step", expected indentation level of 2, but got 4\nlinha 13: Multiple empty lines are not allowed\nlinha 14: Multiple empty lines are not allowed\nlinha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21: Multiple empty lines are not allowed\nlinha 22: Multiple empty lines are not allowed\nlinha 24: Wrong indentation for "Step", expected indentation level of 2, but got 4\nlinha 24: Step name is too long. Length of 98 is longer than the maximum allowed: 70\nlinha 25: Wrong indentation for "Step", expected indentation level of 2, but got 4\nlinha 27: Multiple empty lines are not allowed\nlinha 28: Multiple empty lines are not allowed</t>
  </si>
  <si>
    <t>alphagov_whitehall\topical_events_story_processado.txt</t>
  </si>
  <si>
    <t>alphagov_whitehall\topical_events_story_processado_relatorio.txt</t>
  </si>
  <si>
    <t>alphagov_whitehall\unwithdrawing-withdrawn-documents_story_processado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</si>
  <si>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10: Multiple empty lines are not allowed\nlinha 11: Multiple empty lines are not allowed</t>
  </si>
  <si>
    <t>alphagov_whitehall\unwithdrawing-withdrawn-documents_story_processado.txt</t>
  </si>
  <si>
    <t>alphagov_whitehall\unwithdrawing-withdrawn-documents_story_processado_relatorio.txt</t>
  </si>
  <si>
    <t>api-platform_core\absolute_url_story_processado</t>
  </si>
  <si>
    <t>api-platform_core</t>
  </si>
  <si>
    <t>linha 5: Wrong indentation for "Step", expected indentation level of 2, but got 4\nlinha 5: Step name is too long. Length of 76 is longer than the maximum allowed: 70\nlinha 6: Wrong indentation for "Step", expected indentation level of 2, but got 4\nlinha 7: Wrong indentation for "Step", expected indentation level of 2, but got 4\nlinha 8: Wrong indentation for "Step", expected indentation level of 2, but got 4\nlinha 10: Multiple empty lines are not allowed\nlinha 11: Multiple empty lines are not allowed\nlinha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19: Multiple empty lines are not allowed\nlinha 20: Multiple empty lines are not allowed\nlinha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27: Multiple empty lines are not allowed\nlinha 28: Multiple empty lines are not allowed\nlinha 30: Wrong indentation for "Step", expected indentation level of 2, but got 4\nlinha 31: Wrong indentation for "Step", expected indentation level of 2, but got 4\nlinha 32: Wrong indentation for "Step", expected indentation level of 2, but got 4\nlinha 32: Step name is too long. Length of 81 is longer than the maximum allowed: 70\nlinha 33: Wrong indentation for "Step", expected indentation level of 2, but got 4\nlinha 35: Multiple empty lines are not allowed\nlinha 36: Multiple empty lines are not allowed</t>
  </si>
  <si>
    <t>api-platform_core\absolute_url_story_processado.txt</t>
  </si>
  <si>
    <t>api-platform_core\absolute_url_story_processado_relatorio.txt</t>
  </si>
  <si>
    <t>api-platform_core\collection_attributes_story_processado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</si>
  <si>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11: Step name is too long. Length of 93 is longer than the maximum allowed: 70\nlinha 12: Wrong indentation for "Step", expected indentation level of 2, but got 4\nlinha 12: Step name is too long. Length of 98 is longer than the maximum allowed: 70\nlinha 13: Wrong indentation for "Step", expected indentation level of 2, but got 4\nlinha 13: Step name is too long. Length of 98 is longer than the maximum allowed: 70\nlinha 15: Multiple empty lines are not allowed\nlinha 16: Multiple empty lines are not allowed</t>
  </si>
  <si>
    <t>api-platform_core\collection_attributes_story_processado.txt</t>
  </si>
  <si>
    <t>api-platform_core\collection_attributes_story_processado_relatorio.txt</t>
  </si>
  <si>
    <t>api-platform_core\input_output_2_story_processado</t>
  </si>
  <si>
    <t>linha 5: Wrong indentation for "Step", expected indentation level of 2, but got 4\nlinha 5: Step name is too long. Length of 75 is longer than the maximum allowed: 70\nlinha 6: Wrong indentation for "Step", expected indentation level of 2, but got 4\nlinha 7: Wrong indentation for "Step", expected indentation level of 2, but got 4\nlinha 8: Wrong indentation for "Step", expected indentation level of 2, but got 4\nlinha 8: Step name is too long. Length of 78 is longer than the maximum allowed: 70\nlinha 9: Wrong indentation for "Step", expected indentation level of 2, but got 4\nlinha 11: Multiple empty lines are not allowed\nlinha 12: Multiple empty lines are not allowed\nlinha 15: Wrong indentation for "Step", expected indentation level of 2, but got 4\nlinha 15: Step name is too long. Length of 75 is longer than the maximum allowed: 70\nlinha 16: Wrong indentation for "Step", expected indentation level of 2, but got 4\nlinha 17: Wrong indentation for "Step", expected indentation level of 2, but got 4\nlinha 18: Wrong indentation for "Step", expected indentation level of 2, but got 4\nlinha 18: Step name is too long. Length of 86 is longer than the maximum allowed: 70\nlinha 19: Wrong indentation for "Step", expected indentation level of 2, but got 4\nlinha 21: Multiple empty lines are not allowed\nlinha 22: Multiple empty lines are not allowed</t>
  </si>
  <si>
    <t>api-platform_core\input_output_2_story_processado.txt</t>
  </si>
  <si>
    <t>api-platform_core\input_output_2_story_processado_relatorio.txt</t>
  </si>
  <si>
    <t>api-platform_core\numeric_filter_story_processado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</si>
  <si>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9: Step name is too long. Length of 81 is longer than the maximum allowed: 70\nlinha 10: Wrong indentation for "Step", expected indentation level of 2, but got 4\nlinha 12: Multiple empty lines are not allowed\nlinha 13: Multiple empty lines are not allowed\nlinha 16: Wrong indentation for "Step", expected indentation level of 2, but got 4\nlinha 17: Wrong indentation for "Step", expected indentation level of 2, but got 4\nlinha 17: Step name is too long. Length of 73 is longer than the maximum allowed: 70\nlinha 18: Wrong indentation for "Step", expected indentation level of 2, but got 4\nlinha 19: Wrong indentation for "Step", expected indentation level of 2, but got 4\nlinha 20: Wrong indentation for "Step", expected indentation level of 2, but got 4\nlinha 20: Step name is too long. Length of 81 is longer than the maximum allowed: 70\nlinha 21: Wrong indentation for "Step", expected indentation level of 2, but got 4\nlinha 23: Multiple empty lines are not allowed\nlinha 24: Multiple empty lines are not allowed\nlinha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81 is longer than the maximum allowed: 70\nlinha 31: Wrong indentation for "Step", expected indentation level of 2, but got 4\nlinha 33: Multiple empty lines are not allowed\nlinha 34: Multiple empty lines are not allowed\nlinha 37: Wrong indentation for "Step", expected indentation level of 2, but got 4\nlinha 38: Wrong indentation for "Step", expected indentation level of 2, but got 4\nlinha 38: Step name is too long. Length of 85 is longer than the maximum allowed: 70\nlinha 39: Wrong indentation for "Step", expected indentation level of 2, but got 4\nlinha 40: Wrong indentation for "Step", expected indentation level of 2, but got 4\nlinha 41: Wrong indentation for "Step", expected indentation level of 2, but got 4\nlinha 41: Step name is too long. Length of 81 is longer than the maximum allowed: 70\nlinha 42: Wrong indentation for "Step", expected indentation level of 2, but got 4\nlinha 44: Multiple empty lines are not allowed\nlinha 45: Multiple empty lines are not allowed</t>
  </si>
  <si>
    <t>api-platform_core\numeric_filter_story_processado.txt</t>
  </si>
  <si>
    <t>api-platform_core\numeric_filter_story_processado_relatorio.txt</t>
  </si>
  <si>
    <t>billabear_billabear\confirm_email_story_processado</t>
  </si>
  <si>
    <t>billabear_billabear</t>
  </si>
  <si>
    <t>linha 4: Wrong indentation for "Step", expected indentation level of 2, but got 4\nlinha 4: Step name is too long. Length of 114 is longer than the maximum allowed: 70\nlinha 5: Wrong indentation for "Step", expected indentation level of 2, but got 4\nlinha 6: Wrong indentation for "Step", expected indentation level of 2, but got 4\nlinha 8: Multiple empty lines are not allowed\nlinha 9: Multiple empty lines are not allowed\nlinha 10: Scenario name is already used in: output/6-FeatureEvaluation/featuresToEvaluation/Originais/billabear_billabear/confirm_email_story_processado.feature:3\nlinha 11: Wrong indentation for "Step", expected indentation level of 2, but got 4\nlinha 11: Step name is too long. Length of 114 is longer than the maximum allowed: 70\nlinha 12: Wrong indentation for "Step", expected indentation level of 2, but got 4\nlinha 13: Wrong indentation for "Step", expected indentation level of 2, but got 4\nlinha 15: Multiple empty lines are not allowed\nlinha 16: Multiple empty lines are not allowed</t>
  </si>
  <si>
    <t>billabear_billabear\confirm_email_story_processado.txt</t>
  </si>
  <si>
    <t>billabear_billabear\confirm_email_story_processado_relatorio.txt</t>
  </si>
  <si>
    <t>billabear_billabear\create_product_1_story_processado</t>
  </si>
  <si>
    <t>linha 4: Wrong indentation for "Step", expected indentation level of 2, but got 4\nlinha 4: Step name is too long. Length of 75 is longer than the maximum allowed: 70\nlinha 5: Wrong indentation for "Step", expected indentation level of 2, but got 4\nlinha 6: Wrong indentation for "Step", expected indentation level of 2, but got 4\nlinha 8: Multiple empty lines are not allowed\nlinha 9: Multiple empty lines are not allowed\nlinha 11: Wrong indentation for "Step", expected indentation level of 2, but got 4\nlinha 11: Step name is too long. Length of 75 is longer than the maximum allowed: 70\nlinha 12: Wrong indentation for "Step", expected indentation level of 2, but got 4\nlinha 13: Wrong indentation for "Step", expected indentation level of 2, but got 4\nlinha 15: Multiple empty lines are not allowed\nlinha 16: Multiple empty lines are not allowed\nlinha 18: Wrong indentation for "Step", expected indentation level of 2, but got 4\nlinha 18: Step name is too long. Length of 75 is longer than the maximum allowed: 70\nlinha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24: Multiple empty lines are not allowed\nlinha 25: Multiple empty lines are not allowed\nlinha 27: Wrong indentation for "Step", expected indentation level of 2, but got 4\nlinha 27: Step name is too long. Length of 75 is longer than the maximum allowed: 70\nlinha 28: Wrong indentation for "Step", expected indentation level of 2, but got 4\nlinha 29: Wrong indentation for "Step", expected indentation level of 2, but got 4\nlinha 30: Wrong indentation for "Step", expected indentation level of 2, but got 4\nlinha 32: Multiple empty lines are not allowed\nlinha 33: Multiple empty lines are not allowed\nlinha 34: Scenario name is already used in: output/6-FeatureEvaluation/featuresToEvaluation/Originais/billabear_billabear/create_product_1_story_processado.feature:3\nlinha 35: Wrong indentation for "Step", expected indentation level of 2, but got 4\nlinha 35: Step name is too long. Length of 75 is longer than the maximum allowed: 70\nlinha 36: Wrong indentation for "Step", expected indentation level of 2, but got 4\nlinha 37: Wrong indentation for "Step", expected indentation level of 2, but got 4\nlinha 39: Multiple empty lines are not allowed\nlinha 40: Multiple empty lines are not allowed</t>
  </si>
  <si>
    <t>billabear_billabear\create_product_1_story_processado.txt</t>
  </si>
  <si>
    <t>billabear_billabear\create_product_1_story_processado_relatorio.txt</t>
  </si>
  <si>
    <t>billabear_billabear\generate_for_payment_story_processado</t>
  </si>
  <si>
    <t>linha 4: Wrong indentation for "Step", expected indentation level of 2, but got 4\nlinha 4: Step name is too long. Length of 75 is longer than the maximum allowed: 70\nlinha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8: Step name is too long. Length of 76 is longer than the maximum allowed: 70\nlinha 8: Step "When I generate a receipt for the payment for "customer.one@example.org" for 3500" should use And instead of When\nlinha 9: Wrong indentation for "Step", expected indentation level of 2, but got 4\nlinha 11: Multiple empty lines are not allowed\nlinha 12: Multiple empty lines are not allowed</t>
  </si>
  <si>
    <t>billabear_billabear\generate_for_payment_story_processado.txt</t>
  </si>
  <si>
    <t>billabear_billabear\generate_for_payment_story_processado_relatorio.txt</t>
  </si>
  <si>
    <t>billabear_billabear\limit_customer_story_processado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</si>
  <si>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10: Multiple empty lines are not allowed\nlinha 11: Multiple empty lines are not allowed\nlinha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20: Multiple empty lines are not allowed\nlinha 21: Multiple empty lines are not allowed</t>
  </si>
  <si>
    <t>billabear_billabear\limit_customer_story_processado.txt</t>
  </si>
  <si>
    <t>billabear_billabear\limit_customer_story_processado_relatorio.txt</t>
  </si>
  <si>
    <t>camptocamp_oerpscenario\account_bank_statement_story_processado</t>
  </si>
  <si>
    <t>camptocamp_oerpscenario</t>
  </si>
  <si>
    <t>linha 5: Wrong indentation for "Step", expected indentation level of 2, but got 4\nlinha 5: Step name is too long. Length of 122 is longer than the maximum allowed: 70\nlinha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9: Step "When I create a new bank statement with a CHF account journal" should not appear after step using keyword then\nlinha 10: Wrong indentation for "Step", expected indentation level of 2, but got 4\nlinha 10: Step name is too long. Length of 76 is longer than the maximum allowed: 70\nlinha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16: Multiple empty lines are not allowed\nlinha 17: Multiple empty lines are not allowed\nlinha 18: Element Scenario too long: actual 20, expected 15\nlinha 20: Wrong indentation for "Step", expected indentation level of 2, but got 4\nlinha 20: Step name is too long. Length of 126 is longer than the maximum allowed: 70\nlinha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24: Step "Given I have recorded on the 1 jan 2009 an invoice (in_invoice) of 1000,0 CHF without tax called MySecondSupplierInvoiceBankStatement" should not appear after step using keyword then\nlinha 24: Step name is too long. Length of 127 is longer than the maximum allowed: 70\nlinha 25: Wrong indentation for "Step", expected indentation level of 2, but got 4\nlinha 25: Step "When I press the validate button" should not appear after step using keyword then\nlinha 26: Wrong indentation for "Step", expected indentation level of 2, but got 4\nlinha 27: Wrong indentation for "Step", expected indentation level of 2, but got 4\nlinha 28: Wrong indentation for "Step", expected indentation level of 2, but got 4\nlinha 28: Step "Given I create a new bank statement called MyBankStatement with a CHF account journal" should not appear after step using keyword then\nlinha 28: Step name is too long. Length of 79 is longer than the maximum allowed: 70\nlinha 29: Wrong indentation for "Step", expected indentation level of 2, but got 4\nlinha 29: Step name is too long. Length of 141 is longer than the maximum allowed: 70\nlinha 30: Wrong indentation for "Step", expected indentation level of 2, but got 4\nlinha 31: Wrong indentation for "Step", expected indentation level of 2, but got 4\nlinha 31: Step "Given I take the created invoice MyFirstSupplierInvoiceBankStatement" should not appear after step using keyword then\nlinha 32: Wrong indentation for "Step", expected indentation level of 2, but got 4\nlinha 32: Step "When I call the Pay invoice wizard" should not appear after step using keyword then\nlinha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37: Step "Given I take the bank statement called MyBankStatement" should not appear after step using keyword then\nlinha 38: Wrong indentation for "Step", expected indentation level of 2, but got 4\nlinha 38: Step "When push the confirm button of the statement it should raise a warning because one invoice is already reconciled" should not appear after step using keyword then\nlinha 38: Step name is too long. Length of 108 is longer than the maximum allowed: 70\nlinha 39: Wrong indentation for "Step", expected indentation level of 2, but got 4\nlinha 41: Multiple empty lines are not allowed\nlinha 42: Multiple empty lines are not allowed</t>
  </si>
  <si>
    <t>camptocamp_oerpscenario\account_bank_statement_story_processado.txt</t>
  </si>
  <si>
    <t>camptocamp_oerpscenario\account_bank_statement_story_processado_relatorio.txt</t>
  </si>
  <si>
    <t>camptocamp_oerpscenario\pay_invoice_story_processado</t>
  </si>
  <si>
    <t>linha 3: Element Scenario too long: actual 16, expected 15\nlinha 5: Wrong indentation for "Step", expected indentation level of 2, but got 4\nlinha 5: Step name is too long. Length of 117 is longer than the maximum allowed: 70\nlinha 6: Wrong indentation for "Step", expected indentation level of 2, but got 4\nlinha 7: Wrong indentation for "Step", expected indentation level of 2, but got 4\nlinha 8: Wrong indentation for "Step", expected indentation level of 2, but got 4\nlinha 8: Step "When I call the Pay invoice wizard" should not appear after step using keyword then\nlinha 9: Wrong indentation for "Step", expected indentation level of 2, but got 4\nlinha 10: Wrong indentation for "Step", expected indentation level of 2, but got 4\nlinha 11: Wrong indentation for "Step", expected indentation level of 2, but got 4\nlinha 11: Step "When I call the Pay invoice wizard" should not appear after step using keyword then\nlinha 12: Wrong indentation for "Step", expected indentation level of 2, but got 4\nlinha 13: Wrong indentation for "Step", expected indentation level of 2, but got 4\nlinha 14: Wrong indentation for "Step", expected indentation level of 2, but got 4\nlinha 14: Step "When I call the Pay invoice wizard" should not appear after step using keyword then\nlinha 15: Wrong indentation for "Step", expected indentation level of 2, but got 4\nlinha 16: Wrong indentation for "Step", expected indentation level of 2, but got 4\nlinha 17: Wrong indentation for "Step", expected indentation level of 2, but got 4\nlinha 17: Step "When I call the Pay invoice wizard" should not appear after step using keyword then\nlinha 18: Wrong indentation for "Step", expected indentation level of 2, but got 4\nlinha 19: Wrong indentation for "Step", expected indentation level of 2, but got 4\nlinha 20: Wrong indentation for "Step", expected indentation level of 2, but got 4\nlinha 22: Multiple empty lines are not allowed\nlinha 23: Multiple empty lines are not allowed</t>
  </si>
  <si>
    <t>camptocamp_oerpscenario\pay_invoice_story_processado.txt</t>
  </si>
  <si>
    <t>camptocamp_oerpscenario\pay_invoice_story_processado_relatorio.txt</t>
  </si>
  <si>
    <t>camptocamp_oerpscenario\sale_story_processado</t>
  </si>
  <si>
    <t>linha 4: Wrong indentation for "Step", expected indentation level of 2, but got 4\nlinha 4: Step name is too long. Length of 81 is longer than the maximum allowed: 70\nlinha 5: Wrong indentation for "Step", expected indentation level of 2, but got 4\nlinha 6: Wrong indentation for "Step", expected indentation level of 2, but got 4\nlinha 6: Step name is too long. Length of 99 is longer than the maximum allowed: 70\nlinha 6: Step "Given I need a "sale.order.line" with name: SO Line 1 Device Reseller and oid: scenario.so_reseller_line1" should use And instead of Given\nlinha 7: Wrong indentation for "Step", expected indentation level of 2, but got 4\nlinha 9: Multiple empty lines are not allowed\nlinha 10: Multiple empty lines are not allowed\nlinha 11: Element Scenario too long: actual 16, expected 15\nlinha 12: Wrong indentation for "Step", expected indentation level of 2, but got 4\nlinha 12: Step name is too long. Length of 90 is longer than the maximum allowed: 70\nlinha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17: Step "When I press the create invoice button from SO" should not appear after step using keyword then\nlinha 18: Wrong indentation for "Step", expected indentation level of 2, but got 4\nlinha 19: Wrong indentation for "Step", expected indentation level of 2, but got 4\nlinha 20: Wrong indentation for "Step", expected indentation level of 2, but got 4\nlinha 20: Step "Given I take the related invoice" should not appear after step using keyword then\nlinha 21: Wrong indentation for "Step", expected indentation level of 2, but got 4\nlinha 21: Step name is too long. Length of 75 is longer than the maximum allowed: 70\nlinha 22: Wrong indentation for "Step", expected indentation level of 2, but got 4\nlinha 22: Step "When I press the validate button" should not appear after step using keyword then\nlinha 23: Wrong indentation for "Step", expected indentation level of 2, but got 4\nlinha 24: Wrong indentation for "Step", expected indentation level of 2, but got 4\nlinha 24: Step "Given I take the related invoice" should not appear after step using keyword then\nlinha 25: Wrong indentation for "Step", expected indentation level of 2, but got 4\nlinha 26: Wrong indentation for "Step", expected indentation level of 2, but got 4\nlinha 26: Step name is too long. Length of 121 is longer than the maximum allowed: 70\nlinha 27: Wrong indentation for "Step", expected indentation level of 2, but got 4\nlinha 27: Step name is too long. Length of 132 is longer than the maximum allowed: 70\nlinha 29: Multiple empty lines are not allowed\nlinha 30: Multiple empty lines are not allowed\nlinha 31: Element Scenario too long: actual 23, expected 15\nlinha 33: Wrong indentation for "Step", expected indentation level of 2, but got 4\nlinha 33: Step name is too long. Length of 99 is longer than the maximum allowed: 70\nlinha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38: Step "When I press the create invoice button from SO" should not appear after step using keyword then\nlinha 39: Wrong indentation for "Step", expected indentation level of 2, but got 4\nlinha 40: Wrong indentation for "Step", expected indentation level of 2, but got 4\nlinha 41: Wrong indentation for "Step", expected indentation level of 2, but got 4\nlinha 41: Step "Given I take the related invoice" should not appear after step using keyword then\nlinha 42: Wrong indentation for "Step", expected indentation level of 2, but got 4\nlinha 43: Wrong indentation for "Step", expected indentation level of 2, but got 4\nlinha 43: Step "When I press the validate button" should not appear after step using keyword then\nlinha 44: Wrong indentation for "Step", expected indentation level of 2, but got 4\nlinha 45: Wrong indentation for "Step", expected indentation level of 2, but got 4\nlinha 45: Step "Given I take the related invoice" should not appear after step using keyword then\nlinha 46: Wrong indentation for "Step", expected indentation level of 2, but got 4\nlinha 46: Step "When I press the cancel button on this invoice" should not appear after step using keyword then\nlinha 47: Wrong indentation for "Step", expected indentation level of 2, but got 4\nlinha 48: Wrong indentation for "Step", expected indentation level of 2, but got 4\nlinha 48: Step "Given I take the related invoice" should not appear after step using keyword then\nlinha 49: Wrong indentation for "Step", expected indentation level of 2, but got 4\nlinha 49: Step "When then I press the set to draft button" should not appear after step using keyword then\nlinha 50: Wrong indentation for "Step", expected indentation level of 2, but got 4\nlinha 51: Wrong indentation for "Step", expected indentation level of 2, but got 4\nlinha 52: Wrong indentation for "Step", expected indentation level of 2, but got 4\nlinha 52: Step "Given I take the related invoice" should not appear after step using keyword then\nlinha 53: Wrong indentation for "Step", expected indentation level of 2, but got 4\nlinha 53: Step "When I press the validate button" should not appear after step using keyword then\nlinha 54: Wrong indentation for "Step", expected indentation level of 2, but got 4\nlinha 55: Wrong indentation for "Step", expected indentation level of 2, but got 4\nlinha 57: Multiple empty lines are not allowed\nlinha 58: Multiple empty lines are not allowed</t>
  </si>
  <si>
    <t>camptocamp_oerpscenario\sale_story_processado.txt</t>
  </si>
  <si>
    <t>camptocamp_oerpscenario\sale_story_processado_relatorio.txt</t>
  </si>
  <si>
    <t>camptocamp_oerpscenario\samples_story_processado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</si>
  <si>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9: Multiple empty lines are not allowed\nlinha 10: Multiple empty lines are not allowed\nlinha 12: Wrong indentation for "Step", expected indentation level of 2, but got 4\nlinha 13: Wrong indentation for "Step", expected indentation level of 2, but got 4\nlinha 14: Wrong indentation for "Step", expected indentation level of 2, but got 4\nlinha 14: Step "Given I take the first found partner to set @partner variable" should not appear after step using keyword when\nlinha 15: Wrong indentation for "Step", expected indentation level of 2, but got 4\nlinha 15: Step name is too long. Length of 90 is longer than the maximum allowed: 70\nlinha 16: Wrong indentation for "Step", expected indentation level of 2, but got 4\nlinha 17: Wrong indentation for "Step", expected indentation level of 2, but got 4\nlinha 19: Multiple empty lines are not allowed\nlinha 20: Multiple empty lines are not allowed\nlinha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27: Multiple empty lines are not allowed\nlinha 28: Multiple empty lines are not allowed\nlinha 30: Wrong indentation for "Step", expected indentation level of 2, but got 4\nlinha 30: Step name is too long. Length of 93 is longer than the maximum allowed: 70\nlinha 31: Wrong indentation for "Step", expected indentation level of 2, but got 4\nlinha 32: Wrong indentation for "Step", expected indentation level of 2, but got 4\nlinha 34: Multiple empty lines are not allowed\nlinha 35: Multiple empty lines are not allowed\nlinha 37: Wrong indentation for "Step", expected indentation level of 2, but got 4\nlinha 37: Step name is too long. Length of 72 is longer than the maximum allowed: 70\nlinha 38: Wrong indentation for "Step", expected indentation level of 2, but got 4\nlinha 39: Wrong indentation for "Step", expected indentation level of 2, but got 4\nlinha 40: Wrong indentation for "Step", expected indentation level of 2, but got 4\nlinha 40: Step "When I change the partner name to "Demour sa"" should not appear after step using keyword then\nlinha 41: Wrong indentation for "Step", expected indentation level of 2, but got 4\nlinha 43: Multiple empty lines are not allowed\nlinha 44: Multiple empty lines are not allowed\nlinha 46: Wrong indentation for "Step", expected indentation level of 2, but got 4\nlinha 47: Wrong indentation for "Step", expected indentation level of 2, but got 4\nlinha 48: Wrong indentation for "Step", expected indentation level of 2, but got 4\nlinha 50: Multiple empty lines are not allowed\nlinha 51: Multiple empty lines are not allowed\nlinha 53: Wrong indentation for "Step", expected indentation level of 2, but got 4\nlinha 54: Wrong indentation for "Step", expected indentation level of 2, but got 4\nlinha 55: Wrong indentation for "Step", expected indentation level of 2, but got 4\nlinha 56: Wrong indentation for "Step", expected indentation level of 2, but got 4\nlinha 56: Step "Given I need a "res.partner.address" with reference "partner_address_rincewind"" should not appear after step using keyword then\nlinha 56: Step name is too long. Length of 73 is longer than the maximum allowed: 70\nlinha 57: Wrong indentation for "Step", expected indentation level of 2, but got 4\nlinha 57: Step "When I update it with values:" should not appear after step using keyword then\nlinha 58: Wrong indentation for "Step", expected indentation level of 2, but got 4\nlinha 60: Multiple empty lines are not allowed\nlinha 61: Multiple empty lines are not allowed\nlinha 63: Wrong indentation for "Step", expected indentation level of 2, but got 4\nlinha 65: Multiple empty lines are not allowed\nlinha 66: Multiple empty lines are not allowed</t>
  </si>
  <si>
    <t>camptocamp_oerpscenario\samples_story_processado.txt</t>
  </si>
  <si>
    <t>camptocamp_oerpscenario\samples_story_processado_relatorio.txt</t>
  </si>
  <si>
    <t>coreshop_CoreShop\country_condition_2_story_processado</t>
  </si>
  <si>
    <t>coreshop_CoreShop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</si>
  <si>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8: Step "Then the price rule should be valid for product "Shoe 2"" should use And instead of Then\nlinha 10: Multiple empty lines are not allowed\nlinha 11: Multiple empty lines are not allowed\nlinha 13: Wrong indentation for "Step", expected indentation level of 2, but got 4\nlinha 14: Wrong indentation for "Step", expected indentation level of 2, but got 4\nlinha 14: Step "Given adding a product price rule named "country-discount"" should use And instead of Given\nlinha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"Then the price rule should be invalid for product "Shoe 2"" should use And instead of Then\nlinha 20: Multiple empty lines are not allowed\nlinha 21: Multiple empty lines are not allowed</t>
  </si>
  <si>
    <t>coreshop_CoreShop\country_condition_2_story_processado.txt</t>
  </si>
  <si>
    <t>coreshop_CoreShop\country_condition_2_story_processado_relatorio.txt</t>
  </si>
  <si>
    <t>coreshop_CoreShop\discount_percent_action_tax_100_and_free_shipping_and_gross_values_story_processado</t>
  </si>
  <si>
    <t>linha 1: Feature name is too long. Length of 83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11: Step "Then the cart discount should be "-8333" excluding tax" should use And instead of Then\nlinha 12: Wrong indentation for "Step", expected indentation level of 2, but got 4\nlinha 12: Step "Then the cart total tax should be "0"" should use And instead of Then\nlinha 13: Wrong indentation for "Step", expected indentation level of 2, but got 4\nlinha 13: Step "Then the cart total should be "0" excluding tax" should use And instead of Then\nlinha 14: Wrong indentation for "Step", expected indentation level of 2, but got 4\nlinha 14: Step "Then the cart total should be "0" including tax" should use And instead of Then\nlinha 16: Multiple empty lines are not allowed\nlinha 17: Multiple empty lines are not allowed</t>
  </si>
  <si>
    <t>coreshop_CoreShop\discount_percent_action_tax_100_and_free_shipping_and_gross_values_story_processado.txt</t>
  </si>
  <si>
    <t>coreshop_CoreShop\discount_percent_action_tax_100_and_free_shipping_and_gross_values_story_processado_relatorio.txt</t>
  </si>
  <si>
    <t>coreshop_CoreShop\discount_percent_gross_action_story_processado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</si>
  <si>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11: Step "Then the cart total should be "9000" including tax" should use And instead of Then\nlinha 13: Multiple empty lines are not allowed\nlinha 14: Multiple empty lines are not allowed</t>
  </si>
  <si>
    <t>coreshop_CoreShop\discount_percent_gross_action_story_processado.txt</t>
  </si>
  <si>
    <t>coreshop_CoreShop\discount_percent_gross_action_story_processado_relatorio.txt</t>
  </si>
  <si>
    <t>coreshop_CoreShop\not_discountable_discount_amount_action_story_processado</t>
  </si>
  <si>
    <t>linha 1: Feature name is too long. Length of 56 is longer than the maximum allowed: 50\nlinha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10: Step "Then the cart total should be "10000" including tax" should use And instead of Then\nlinha 12: Multiple empty lines are not allowed\nlinha 13: Multiple empty lines are not allowed</t>
  </si>
  <si>
    <t>coreshop_CoreShop\not_discountable_discount_amount_action_story_processado.txt</t>
  </si>
  <si>
    <t>coreshop_CoreShop\not_discountable_discount_amount_action_story_processado_relatorio.txt</t>
  </si>
  <si>
    <t>cross-solution_YAWIK\apply_story_processado</t>
  </si>
  <si>
    <t>cross-solution_YAWIK</t>
  </si>
  <si>
    <t>linha 3: Element Scenario too long: actual 16, expected 15\nlinha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22: Multiple empty lines are not allowed\nlinha 23: Multiple empty lines are not allowed\nlinha 24: Element Scenario too long: actual 17, expected 15\nlinha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4\nlinha 44: Multiple empty lines are not allowed\nlinha 45: Multiple empty lines are not allowed</t>
  </si>
  <si>
    <t>cross-solution_YAWIK\apply_story_processado.txt</t>
  </si>
  <si>
    <t>cross-solution_YAWIK\apply_story_processado_relatorio.txt</t>
  </si>
  <si>
    <t>cross-solution_YAWIK\insert_story_processado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</si>
  <si>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9: Step name is too long. Length of 108 is longer than the maximum allowed: 70\nlinha 11: Multiple empty lines are not allowed\nlinha 12: Multiple empty lines are not allowed\nlinha 13: Element Scenario too long: actual 19, expected 15\nlinha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23: Step "When I click edit on location form" should not appear after step using keyword then\nlinha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35: Multiple empty lines are not allowed\nlinha 36: Multiple empty lines are not allowed</t>
  </si>
  <si>
    <t>cross-solution_YAWIK\insert_story_processado.txt</t>
  </si>
  <si>
    <t>cross-solution_YAWIK\insert_story_processado_relatorio.txt</t>
  </si>
  <si>
    <t>cross-solution_YAWIK\login_story_processado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</si>
  <si>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10: Multiple empty lines are not allowed\nlinha 11: Multiple empty lines are not allowed\nlinha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19: Multiple empty lines are not allowed\nlinha 20: Multiple empty lines are not allowed\nlinha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28: Multiple empty lines are not allowed\nlinha 29: Multiple empty lines are not allowed\nlinha 31: Wrong indentation for "Step", expected indentation level of 2, but got 4\nlinha 32: Wrong indentation for "Step", expected indentation level of 2, but got 4\nlinha 33: Wrong indentation for "Step", expected indentation level of 2, but got 4\nlinha 35: Multiple empty lines are not allowed\nlinha 36: Multiple empty lines are not allowed</t>
  </si>
  <si>
    <t>cross-solution_YAWIK\login_story_processado.txt</t>
  </si>
  <si>
    <t>cross-solution_YAWIK\login_story_processado_relatorio.txt</t>
  </si>
  <si>
    <t>cross-solution_YAWIK\update_2_story_processado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</si>
  <si>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11: Multiple empty lines are not allowed\nlinha 12: Multiple empty lines are not allowed\nlinha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26: Multiple empty lines are not allowed\nlinha 27: Multiple empty lines are not allowed\nlinha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4\nlinha 43: Wrong indentation for "Step", expected indentation level of 2, but got 4\nlinha 45: Multiple empty lines are not allowed\nlinha 46: Multiple empty lines are not allowed\nlinha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53: Wrong indentation for "Step", expected indentation level of 2, but got 4\nlinha 54: Wrong indentation for "Step", expected indentation level of 2, but got 4\nlinha 55: Wrong indentation for "Step", expected indentation level of 2, but got 4\nlinha 55: Step name is too long. Length of 79 is longer than the maximum allowed: 70\nlinha 56: Wrong indentation for "Step", expected indentation level of 2, but got 4\nlinha 56: Step name is too long. Length of 71 is longer than the maximum allowed: 70\nlinha 58: Multiple empty lines are not allowed\nlinha 59: Multiple empty lines are not allowed\nlinha 61: Wrong indentation for "Step", expected indentation level of 2, but got 4\nlinha 62: Wrong indentation for "Step", expected indentation level of 2, but got 4\nlinha 63: Wrong indentation for "Step", expected indentation level of 2, but got 4\nlinha 64: Wrong indentation for "Step", expected indentation level of 2, but got 4\nlinha 65: Wrong indentation for "Step", expected indentation level of 2, but got 4\nlinha 65: Step "When I remove logo from organization" should not appear after step using keyword then\nlinha 66: Wrong indentation for "Step", expected indentation level of 2, but got 4\nlinha 67: Wrong indentation for "Step", expected indentation level of 2, but got 4\nlinha 68: Wrong indentation for "Step", expected indentation level of 2, but got 4\nlinha 69: Wrong indentation for "Step", expected indentation level of 2, but got 4\nlinha 70: Wrong indentation for "Step", expected indentation level of 2, but got 4\nlinha 72: Multiple empty lines are not allowed\nlinha 73: Multiple empty lines are not allowed</t>
  </si>
  <si>
    <t>cross-solution_YAWIK\update_2_story_processado.txt</t>
  </si>
  <si>
    <t>cross-solution_YAWIK\update_2_story_processado_relatorio.txt</t>
  </si>
  <si>
    <t>engineyard_rails_dev_directory\admin_services_story_processado</t>
  </si>
  <si>
    <t>engineyard_rails_dev_directory</t>
  </si>
  <si>
    <t>linha 3: Element Scenario too long: actual 16, expected 15\nlinha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9: Step "When I follow "Add a New Service"" should not appear after step using keyword then\nlinha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14: Step "When I follow "Edit"" should not appear after step using keyword then\nlinha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"When I follow "Delete"" should not appear after step using keyword then\nlinha 19: Wrong indentation for "Step", expected indentation level of 2, but got 4\nlinha 21: Multiple empty lines are not allowed\nlinha 22: Multiple empty lines are not allowed</t>
  </si>
  <si>
    <t>engineyard_rails_dev_directory\admin_services_story_processado.txt</t>
  </si>
  <si>
    <t>engineyard_rails_dev_directory\admin_services_story_processado_relatorio.txt</t>
  </si>
  <si>
    <t>engineyard_rails_dev_directory\admin_top_cities_story_processado</t>
  </si>
  <si>
    <t>linha 3: Element Scenario too long: actual 16, expected 15\nlinha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12: Step "When I follow "Edit"" should not appear after step using keyword then\nlinha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18: Step "When I follow "Delete"" should not appear after step using keyword then\nlinha 19: Wrong indentation for "Step", expected indentation level of 2, but got 4\nlinha 21: Multiple empty lines are not allowed\nlinha 22: Multiple empty lines are not allowed</t>
  </si>
  <si>
    <t>engineyard_rails_dev_directory\admin_top_cities_story_processado.txt</t>
  </si>
  <si>
    <t>engineyard_rails_dev_directory\admin_top_cities_story_processado_relatorio.txt</t>
  </si>
  <si>
    <t>engineyard_rails_dev_directory\dashboard_story_processado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</si>
  <si>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14: Multiple empty lines are not allowed\nlinha 15: Multiple empty lines are not allowed</t>
  </si>
  <si>
    <t>engineyard_rails_dev_directory\dashboard_story_processado.txt</t>
  </si>
  <si>
    <t>engineyard_rails_dev_directory\dashboard_story_processado_relatorio.txt</t>
  </si>
  <si>
    <t>engineyard_rails_dev_directory\pages_story_processado</t>
  </si>
  <si>
    <t>linha 3: Element Scenario too long: actual 16, expected 15\nlinha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"When I follow "New page"" should not appear after step using keyword then\nlinha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17: Step "When I follow "general.delete" translation" should not appear after step using keyword then\nlinha 18: Wrong indentation for "Step", expected indentation level of 2, but got 4\nlinha 19: Wrong indentation for "Step", expected indentation level of 2, but got 4\nlinha 21: Multiple empty lines are not allowed\nlinha 22: Multiple empty lines are not allowed</t>
  </si>
  <si>
    <t>engineyard_rails_dev_directory\pages_story_processado.txt</t>
  </si>
  <si>
    <t>engineyard_rails_dev_directory\pages_story_processado_relatorio.txt</t>
  </si>
  <si>
    <t>inventorypapa_free-dropshipping-automation-software\browsing_inventory_story_processado</t>
  </si>
  <si>
    <t>inventorypapa_free-dropshipping-automation-software</t>
  </si>
  <si>
    <t>linha 5: Wrong indentation for "Step", expected indentation level of 2, but got 4\nlinha 6: Wrong indentation for "Step", expected indentation level of 2, but got 4\nlinha 8: Multiple empty lines are not allowed\nlinha 9: Multiple empty lines are not allowed\nlinha 12: Wrong indentation for "Step", expected indentation level of 2, but got 4\nlinha 13: Wrong indentation for "Step", expected indentation level of 2, but got 4\nlinha 13: Step name is too long. Length of 74 is longer than the maximum allowed: 70\nlinha 15: Multiple empty lines are not allowed\nlinha 16: Multiple empty lines are not allowed</t>
  </si>
  <si>
    <t>inventorypapa_free-dropshipping-automation-software\browsing_inventory_story_processado.txt</t>
  </si>
  <si>
    <t>inventorypapa_free-dropshipping-automation-software\browsing_inventory_story_processado_relatorio.txt</t>
  </si>
  <si>
    <t>inventorypapa_free-dropshipping-automation-software\product_review_validation_1_story_processado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</si>
  <si>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11: Multiple empty lines are not allowed\nlinha 12: Multiple empty lines are not allowed\nlinha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21: Multiple empty lines are not allowed\nlinha 22: Multiple empty lines are not allowed</t>
  </si>
  <si>
    <t>inventorypapa_free-dropshipping-automation-software\product_review_validation_1_story_processado.txt</t>
  </si>
  <si>
    <t>inventorypapa_free-dropshipping-automation-software\product_review_validation_1_story_processado_relatorio.txt</t>
  </si>
  <si>
    <t>inventorypapa_free-dropshipping-automation-software\seeing_orders_statistics_on_customer_details_page_story_processado</t>
  </si>
  <si>
    <t>linha 1: Feature name is too long. Length of 66 is longer than the maximum allowed: 50\nlinha 5: Wrong indentation for "Step", expected indentation level of 2, but got 4\nlinha 6: Wrong indentation for "Step", expected indentation level of 2, but got 4\nlinha 8: Multiple empty lines are not allowed\nlinha 9: Multiple empty lines are not allowed\nlinha 10: Scenario name is too long. Length of 76 is longer than the maximum allowed: 70\nlinha 12: Wrong indentation for "Step", expected indentation level of 2, but got 4\nlinha 12: Step name is too long. Length of 124 is longer than the maximum allowed: 70\nlinha 13: Wrong indentation for "Step", expected indentation level of 2, but got 4\nlinha 13: Step name is too long. Length of 113 is longer than the maximum allowed: 70\nlinha 14: Wrong indentation for "Step", expected indentation level of 2, but got 4\nlinha 15: Wrong indentation for "Step", expected indentation level of 2, but got 4\nlinha 17: Multiple empty lines are not allowed\nlinha 18: Multiple empty lines are not allowed\nlinha 19: Scenario name is too long. Length of 92 is longer than the maximum allowed: 70\nlinha 21: Wrong indentation for "Step", expected indentation level of 2, but got 4\nlinha 21: Step name is too long. Length of 123 is longer than the maximum allowed: 70\nlinha 22: Wrong indentation for "Step", expected indentation level of 2, but got 4\nlinha 22: Step name is too long. Length of 113 is longer than the maximum allowed: 70\nlinha 23: Wrong indentation for "Step", expected indentation level of 2, but got 4\nlinha 24: Wrong indentation for "Step", expected indentation level of 2, but got 4\nlinha 24: Step name is too long. Length of 100 is longer than the maximum allowed: 70\nlinha 26: Multiple empty lines are not allowed\nlinha 27: Multiple empty lines are not allowed\nlinha 28: Scenario name is too long. Length of 92 is longer than the maximum allowed: 70\nlinha 30: Wrong indentation for "Step", expected indentation level of 2, but got 4\nlinha 30: Step name is too long. Length of 124 is longer than the maximum allowed: 70\nlinha 31: Wrong indentation for "Step", expected indentation level of 2, but got 4\nlinha 31: Step name is too long. Length of 113 is longer than the maximum allowed: 70\nlinha 32: Wrong indentation for "Step", expected indentation level of 2, but got 4\nlinha 33: Wrong indentation for "Step", expected indentation level of 2, but got 4\nlinha 33: Step name is too long. Length of 95 is longer than the maximum allowed: 70\nlinha 35: Multiple empty lines are not allowed\nlinha 36: Multiple empty lines are not allowed</t>
  </si>
  <si>
    <t>inventorypapa_free-dropshipping-automation-software\seeing_orders_statistics_on_customer_details_page_story_processado.txt</t>
  </si>
  <si>
    <t>inventorypapa_free-dropshipping-automation-software\seeing_orders_statistics_on_customer_details_page_story_processado_relatorio.txt</t>
  </si>
  <si>
    <t>inventorypapa_free-dropshipping-automation-software\sorting_payment_methods_by_position_story_processado</t>
  </si>
  <si>
    <t>linha 1: Feature name is too long. Length of 52 is longer than the maximum allowed: 50\nlinha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79 is longer than the maximum allowed: 70\nlinha 8: Wrong indentation for "Step", expected indentation level of 2, but got 4\nlinha 8: Step name is too long. Length of 71 is longer than the maximum allowed: 70\nlinha 10: Multiple empty lines are not allowed\nlinha 11: Multiple empty lines are not allowed\nlinha 14: Wrong indentation for "Step", expected indentation level of 2, but got 4\nlinha 15: Wrong indentation for "Step", expected indentation level of 2, but got 4\nlinha 16: Wrong indentation for "Step", expected indentation level of 2, but got 4\nlinha 18: Multiple empty lines are not allowed\nlinha 19: Multiple empty lines are not allowed\nlinha 22: Wrong indentation for "Step", expected indentation level of 2, but got 4\nlinha 23: Wrong indentation for "Step", expected indentation level of 2, but got 4\nlinha 24: Wrong indentation for "Step", expected indentation level of 2, but got 4\nlinha 26: Multiple empty lines are not allowed\nlinha 27: Multiple empty lines are not allowed</t>
  </si>
  <si>
    <t>inventorypapa_free-dropshipping-automation-software\sorting_payment_methods_by_position_story_processado.txt</t>
  </si>
  <si>
    <t>inventorypapa_free-dropshipping-automation-software\sorting_payment_methods_by_position_story_processado_relatorio.txt</t>
  </si>
  <si>
    <t>irontec_ivozprovider\getExternalCallFilterBlackList_story_processado</t>
  </si>
  <si>
    <t>irontec_ivozprovider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</si>
  <si>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10: Step name is too long. Length of 78 is longer than the maximum allowed: 70\nlinha 11: Wrong indentation for "Step", expected indentation level of 2, but got 4\nlinha 13: Multiple empty lines are not allowed\nlinha 14: Multiple empty lines are not allowed\nlinha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21: Step name is too long. Length of 78 is longer than the maximum allowed: 70\nlinha 22: Wrong indentation for "Step", expected indentation level of 2, but got 4\nlinha 24: Multiple empty lines are not allowed\nlinha 25: Multiple empty lines are not allowed</t>
  </si>
  <si>
    <t>irontec_ivozprovider\getExternalCallFilterBlackList_story_processado.txt</t>
  </si>
  <si>
    <t>irontec_ivozprovider\getExternalCallFilterBlackList_story_processado_relatorio.txt</t>
  </si>
  <si>
    <t>irontec_ivozprovider\postHuntGroupMember_story_processado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</si>
  <si>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11: Step name is too long. Length of 78 is longer than the maximum allowed: 70\nlinha 12: Wrong indentation for "Step", expected indentation level of 2, but got 4\nlinha 14: Multiple empty lines are not allowed\nlinha 15: Multiple empty lines are not allowed\nlinha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22: Step name is too long. Length of 78 is longer than the maximum allowed: 70\nlinha 23: Wrong indentation for "Step", expected indentation level of 2, but got 4\nlinha 25: Multiple empty lines are not allowed\nlinha 26: Multiple empty lines are not allowed</t>
  </si>
  <si>
    <t>irontec_ivozprovider\postHuntGroupMember_story_processado.txt</t>
  </si>
  <si>
    <t>irontec_ivozprovider\postHuntGroupMember_story_processado_relatorio.txt</t>
  </si>
  <si>
    <t>irontec_ivozprovider\removeDomains_2_story_processado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</si>
  <si>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11: Multiple empty lines are not allowed\nlinha 12: Multiple empty lines are not allowed</t>
  </si>
  <si>
    <t>irontec_ivozprovider\removeDomains_2_story_processado.txt</t>
  </si>
  <si>
    <t>irontec_ivozprovider\removeDomains_2_story_processado_relatorio.txt</t>
  </si>
  <si>
    <t>irontec_ivozprovider\removeSpecialNumber_1_story_processado</t>
  </si>
  <si>
    <t>irontec_ivozprovider\removeSpecialNumber_1_story_processado.txt</t>
  </si>
  <si>
    <t>irontec_ivozprovider\removeSpecialNumber_1_story_processado_relatorio.txt</t>
  </si>
  <si>
    <t>karma-runner_karma\cli_story_processado</t>
  </si>
  <si>
    <t>karma-runner_karma</t>
  </si>
  <si>
    <t>linha 4: Wrong indentation for "Step", expected indentation level of 2, but got 4\nlinha 5: Wrong indentation for "Step", expected indentation level of 2, but got 4\nlinha 7: Multiple empty lines are not allowed\nlinha 8: Multiple empty lines are not allowed\nlinha 10: Wrong indentation for "Step", expected indentation level of 2, but got 4\nlinha 11: Wrong indentation for "Step", expected indentation level of 2, but got 4\nlinha 13: Multiple empty lines are not allowed\nlinha 14: Multiple empty lines are not allowed\nlinha 16: Wrong indentation for "Step", expected indentation level of 2, but got 4\nlinha 17: Wrong indentation for "Step", expected indentation level of 2, but got 4\nlinha 19: Multiple empty lines are not allowed\nlinha 20: Multiple empty lines are not allowed\nlinha 22: Wrong indentation for "Step", expected indentation level of 2, but got 4\nlinha 23: Wrong indentation for "Step", expected indentation level of 2, but got 4\nlinha 23: Step name is too long. Length of 95 is longer than the maximum allowed: 70\nlinha 24: Wrong indentation for "Step", expected indentation level of 2, but got 4\nlinha 26: Multiple empty lines are not allowed\nlinha 27: Multiple empty lines are not allowed\nlinha 29: Wrong indentation for "Step", expected indentation level of 2, but got 4\nlinha 30: Wrong indentation for "Step", expected indentation level of 2, but got 4\nlinha 32: Multiple empty lines are not allowed\nlinha 33: Multiple empty lines are not allowed\nlinha 35: Wrong indentation for "Step", expected indentation level of 2, but got 4\nlinha 36: Wrong indentation for "Step", expected indentation level of 2, but got 4\nlinha 38: Multiple empty lines are not allowed\nlinha 39: Multiple empty lines are not allowed\nlinha 41: Wrong indentation for "Step", expected indentation level of 2, but got 4\nlinha 42: Wrong indentation for "Step", expected indentation level of 2, but got 4\nlinha 44: Multiple empty lines are not allowed\nlinha 45: Multiple empty lines are not allowed\nlinha 47: Wrong indentation for "Step", expected indentation level of 2, but got 4\nlinha 48: Wrong indentation for "Step", expected indentation level of 2, but got 4\nlinha 50: Multiple empty lines are not allowed\nlinha 51: Multiple empty lines are not allowed\nlinha 53: Wrong indentation for "Step", expected indentation level of 2, but got 4\nlinha 54: Wrong indentation for "Step", expected indentation level of 2, but got 4\nlinha 56: Multiple empty lines are not allowed\nlinha 57: Multiple empty lines are not allowed</t>
  </si>
  <si>
    <t>karma-runner_karma\cli_story_processado.txt</t>
  </si>
  <si>
    <t>karma-runner_karma\cli_story_processado_relatorio.txt</t>
  </si>
  <si>
    <t>karma-runner_karma\headers_story_processado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</si>
  <si>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8: Multiple empty lines are not allowed\nlinha 9: Multiple empty lines are not allowed</t>
  </si>
  <si>
    <t>karma-runner_karma\headers_story_processado.txt</t>
  </si>
  <si>
    <t>karma-runner_karma\headers_story_processado_relatorio.txt</t>
  </si>
  <si>
    <t>karma-runner_karma\launcher-error_story_processado</t>
  </si>
  <si>
    <t>karma-runner_karma\launcher-error_story_processado.txt</t>
  </si>
  <si>
    <t>karma-runner_karma\launcher-error_story_processado_relatorio.txt</t>
  </si>
  <si>
    <t>karma-runner_karma\tag_story_processado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</si>
  <si>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8: Multiple empty lines are not allowed\nlinha 9: Multiple empty lines are not allowed\nlinha 11: Wrong indentation for "Step", expected indentation level of 2, but got 4\nlinha 12: Wrong indentation for "Step", expected indentation level of 2, but got 4\nlinha 13: Wrong indentation for "Step", expected indentation level of 2, but got 4\nlinha 15: Multiple empty lines are not allowed\nlinha 16: Multiple empty lines are not allowed\nlinha 18: Wrong indentation for "Step", expected indentation level of 2, but got 4\nlinha 19: Wrong indentation for "Step", expected indentation level of 2, but got 4\nlinha 20: Wrong indentation for "Step", expected indentation level of 2, but got 4\nlinha 22: Multiple empty lines are not allowed\nlinha 23: Multiple empty lines are not allowed\nlinha 24: Scenario name is too long. Length of 72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29: Multiple empty lines are not allowed\nlinha 30: Multiple empty lines are not allowed</t>
  </si>
  <si>
    <t>karma-runner_karma\tag_story_processado.txt</t>
  </si>
  <si>
    <t>karma-runner_karma\tag_story_processado_relatorio.txt</t>
  </si>
  <si>
    <t>ledgersmb_LedgerSMB\chart-of-accounts_story_processado</t>
  </si>
  <si>
    <t>ledgersmb_LedgerSMB</t>
  </si>
  <si>
    <t>linha 3: Element Scenario too long: actual 44, expected 15\nlinha 4: Wrong indentation for "Step", expected indentation level of 2, but got 4\nlinha 5: Wrong indentation for "Step", expected indentation level of 2, but got 4\nlinha 6: Wrong indentation for "Step", expected indentation level of 2, but got 4\nlinha 6: Step name is too long. Length of 80 is longer than the maximum allowed: 70\nlinha 7: Wrong indentation for "Step", expected indentation level of 2, but got 4\nlinha 8: Wrong indentation for "Step", expected indentation level of 2, but got 4\nlinha 9: Wrong indentation for "Step", expected indentation level of 2, but got 4\nlinha 9: Step name is too long. Length of 111 is longer than the maximum allowed: 70\nlinha 10: Wrong indentation for "Step", expected indentation level of 2, but got 4\nlinha 10: Step "When I click Account Number "1205"" should not appear after step using keyword then\nlinha 11: Wrong indentation for "Step", expected indentation level of 2, but got 4\nlinha 12: Wrong indentation for "Step", expected indentation level of 2, but got 4\nlinha 12: Step name is too long. Length of 77 is longer than the maximum allowed: 70\nlinha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17: Step "When I enter "Chairs" into "Description"" should not appear after step using keyword then\nlinha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34: Step "When I select "Custom Summary" from the drop down "Summary account for"" should not appear after step using keyword then\nlinha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39: Step "Then I expect to see 0 selected checkboxes in "Custom Flags"" should use And instead of Then\nlinha 40: Wrong indentation for "Step", expected indentation level of 2, but got 4\nlinha 41: Wrong indentation for "Step", expected indentation level of 2, but got 4\nlinha 41: Step "When I select "Inventory" from the drop down "Summary account for"" should not appear after step using keyword then\nlinha 42: Wrong indentation for "Step", expected indentation level of 2, but got 4\nlinha 43: Wrong indentation for "Step", expected indentation level of 2, but got 4\nlinha 44: Wrong indentation for "Step", expected indentation level of 2, but got 4\nlinha 44: Step "When I navigate the menu and select the item at "General Journal &gt; Chart of Accounts"" should not appear after step using keyword then\nlinha 44: Step name is too long. Length of 80 is longer than the maximum allowed: 70\nlinha 45: Wrong indentation for "Step", expected indentation level of 2, but got 4\nlinha 46: Wrong indentation for "Step", expected indentation level of 2, but got 4\nlinha 47: Wrong indentation for "Step", expected indentation level of 2, but got 4\nlinha 47: Step name is too long. Length of 86 is longer than the maximum allowed: 70\nlinha 49: Multiple empty lines are not allowed\nlinha 50: Multiple empty lines are not allowed\nlinha 51: Scenario name is too long. Length of 75 is longer than the maximum allowed: 70\nlinha 52: Wrong indentation for "Step", expected indentation level of 2, but got 4\nlinha 52: Step name is too long. Length of 80 is longer than the maximum allowed: 70\nlinha 53: Wrong indentation for "Step", expected indentation level of 2, but got 4\nlinha 54: Wrong indentation for "Step", expected indentation level of 2, but got 4\nlinha 55: Wrong indentation for "Step", expected indentation level of 2, but got 4\nlinha 55: Step name is too long. Length of 94 is longer than the maximum allowed: 70\nlinha 56: Wrong indentation for "Step", expected indentation level of 2, but got 4\nlinha 56: Step "When I click Account Number "1000"" should not appear after step using keyword then\nlinha 57: Wrong indentation for "Step", expected indentation level of 2, but got 4\nlinha 58: Wrong indentation for "Step", expected indentation level of 2, but got 4\nlinha 59: Wrong indentation for "Step", expected indentation level of 2, but got 4\nlinha 59: Step "When I enter "Assets" into "Description"" should not appear after step using keyword then\nlinha 60: Wrong indentation for "Step", expected indentation level of 2, but got 4\nlinha 61: Wrong indentation for "Step", expected indentation level of 2, but got 4\nlinha 62: Wrong indentation for "Step", expected indentation level of 2, but got 4\nlinha 62: Step "When I navigate the menu and select the item at "General Journal &gt; Chart of Accounts"" should not appear after step using keyword then\nlinha 62: Step name is too long. Length of 80 is longer than the maximum allowed: 70\nlinha 63: Wrong indentation for "Step", expected indentation level of 2, but got 4\nlinha 64: Wrong indentation for "Step", expected indentation level of 2, but got 4\nlinha 65: Wrong indentation for "Step", expected indentation level of 2, but got 4\nlinha 65: Step name is too long. Length of 86 is longer than the maximum allowed: 70\nlinha 67: Multiple empty lines are not allowed\nlinha 68: Multiple empty lines are not allowed\nlinha 70: Wrong indentation for "Step", expected indentation level of 2, but got 4\nlinha 70: Step name is too long. Length of 80 is longer than the maximum allowed: 70\nlinha 71: Wrong indentation for "Step", expected indentation level of 2, but got 4\nlinha 72: Wrong indentation for "Step", expected indentation level of 2, but got 4\nlinha 73: Wrong indentation for "Step", expected indentation level of 2, but got 4\nlinha 73: Step "When I click Account Number "1060"" should not appear after step using keyword then\nlinha 74: Wrong indentation for "Step", expected indentation level of 2, but got 4\nlinha 75: Wrong indentation for "Step", expected indentation level of 2, but got 4\nlinha 75: Step "When I select the "Account" tab" should not appear after step using keyword then\nlinha 76: Wrong indentation for "Step", expected indentation level of 2, but got 4\nlinha 77: Wrong indentation for "Step", expected indentation level of 2, but got 4\nlinha 78: Wrong indentation for "Step", expected indentation level of 2, but got 4\nlinha 79: Wrong indentation for "Step", expected indentation level of 2, but got 4\nlinha 80: Wrong indentation for "Step", expected indentation level of 2, but got 4\nlinha 80: Step "When I navigate the menu and select the item at "General Journal &gt; Chart of Accounts"" should not appear after step using keyword then\nlinha 80: Step name is too long. Length of 80 is longer than the maximum allowed: 70\nlinha 81: Wrong indentation for "Step", expected indentation level of 2, but got 4\nlinha 82: Wrong indentation for "Step", expected indentation level of 2, but got 4\nlinha 83: Wrong indentation for "Step", expected indentation level of 2, but got 4\nlinha 83: Step name is too long. Length of 93 is longer than the maximum allowed: 70\nlinha 85: Multiple empty lines are not allowed\nlinha 86: Multiple empty lines are not allowed\nlinha 88: Wrong indentation for "Step", expected indentation level of 2, but got 4\nlinha 88: Step name is too long. Length of 80 is longer than the maximum allowed: 70\nlinha 89: Wrong indentation for "Step", expected indentation level of 2, but got 4\nlinha 90: Wrong indentation for "Step", expected indentation level of 2, but got 4\nlinha 91: Wrong indentation for "Step", expected indentation level of 2, but got 4\nlinha 91: Step "When I click Account Number "1000"" should not appear after step using keyword then\nlinha 92: Wrong indentation for "Step", expected indentation level of 2, but got 4\nlinha 93: Wrong indentation for "Step", expected indentation level of 2, but got 4\nlinha 93: Step "When I select the "Heading" tab" should not appear after step using keyword then\nlinha 94: Wrong indentation for "Step", expected indentation level of 2, but got 4\nlinha 95: Wrong indentation for "Step", expected indentation level of 2, but got 4\nlinha 96: Wrong indentation for "Step", expected indentation level of 2, but got 4\nlinha 97: Wrong indentation for "Step", expected indentation level of 2, but got 4\nlinha 98: Wrong indentation for "Step", expected indentation level of 2, but got 4\nlinha 98: Step "When I navigate the menu and select the item at "General Journal &gt; Chart of Accounts"" should not appear after step using keyword then\nlinha 98: Step name is too long. Length of 80 is longer than the maximum allowed: 70\nlinha 99: Wrong indentation for "Step", expected indentation level of 2, but got 4\nlinha 100: Wrong indentation for "Step", expected indentation level of 2, but got 4\nlinha 101: Wrong indentation for "Step", expected indentation level of 2, but got 4\nlinha 101: Step name is too long. Length of 93 is longer than the maximum allowed: 70\nlinha 103: Multiple empty lines are not allowed\nlinha 104: Multiple empty lines are not allowed</t>
  </si>
  <si>
    <t>ledgersmb_LedgerSMB\chart-of-accounts_story_processado.txt</t>
  </si>
  <si>
    <t>ledgersmb_LedgerSMB\chart-of-accounts_story_processado_relatorio.txt</t>
  </si>
  <si>
    <t>ledgersmb_LedgerSMB\in-arrears-purchase_story_processado</t>
  </si>
  <si>
    <t>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9: Multiple empty lines are not allowed\nlinha 10: Multiple empty lines are not allowed\nlinha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17: Multiple empty lines are not allowed\nlinha 18: Multiple empty lines are not allowed\nlinha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25: Multiple empty lines are not allowed\nlinha 26: Multiple empty lines are not allowed</t>
  </si>
  <si>
    <t>ledgersmb_LedgerSMB\in-arrears-purchase_story_processado.txt</t>
  </si>
  <si>
    <t>ledgersmb_LedgerSMB\in-arrears-purchase_story_processado_relatorio.txt</t>
  </si>
  <si>
    <t>ledgersmb_LedgerSMB\login_story_processado</t>
  </si>
  <si>
    <t>linha 4: Wrong indentation for "Step", expected indentation level of 2, but got 4\nlinha 5: Wrong indentation for "Step", expected indentation level of 2, but got 4\nlinha 7: Multiple empty lines are not allowed\nlinha 8: Multiple empty lines are not allowed\nlinha 10: Wrong indentation for "Step", expected indentation level of 2, but got 4\nlinha 11: Wrong indentation for "Step", expected indentation level of 2, but got 4\nlinha 13: Multiple empty lines are not allowed\nlinha 14: Multiple empty lines are not allowed\nlinha 16: Wrong indentation for "Step", expected indentation level of 2, but got 4\nlinha 17: Wrong indentation for "Step", expected indentation level of 2, but got 4\nlinha 19: Multiple empty lines are not allowed\nlinha 20: Multiple empty lines are not allowed</t>
  </si>
  <si>
    <t>ledgersmb_LedgerSMB\login_story_processado.txt</t>
  </si>
  <si>
    <t>ledgersmb_LedgerSMB\login_story_processado_relatorio.txt</t>
  </si>
  <si>
    <t>ledgersmb_LedgerSMB\search-batches_story_processado</t>
  </si>
  <si>
    <t>linha 4: Wrong indentation for "Step", expected indentation level of 2, but got 4\nlinha 4: Step name is too long. Length of 75 is longer than the maximum allowed: 70\nlinha 5: Wrong indentation for "Step", expected indentation level of 2, but got 4\nlinha 6: Wrong indentation for "Step", expected indentation level of 2, but got 4\nlinha 6: Step "When I press "Search"" should not appear after step using keyword then\nlinha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10: Step name is too long. Length of 75 is longer than the maximum allowed: 70\nlinha 11: Wrong indentation for "Step", expected indentation level of 2, but got 4\nlinha 11: Step name is too long. Length of 83 is longer than the maximum allowed: 70\nlinha 12: Wrong indentation for "Step", expected indentation level of 2, but got 4\nlinha 12: Step name is too long. Length of 87 is longer than the maximum allowed: 70\nlinha 13: Wrong indentation for "Step", expected indentation level of 2, but got 4\nlinha 13: Step name is too long. Length of 88 is longer than the maximum allowed: 70\nlinha 14: Wrong indentation for "Step", expected indentation level of 2, but got 4\nlinha 14: Step name is too long. Length of 87 is longer than the maximum allowed: 70\nlinha 16: Multiple empty lines are not allowed\nlinha 17: Multiple empty lines are not allowed\nlinha 19: Wrong indentation for "Step", expected indentation level of 2, but got 4\nlinha 19: Step name is too long. Length of 75 is longer than the maximum allowed: 70\nlinha 20: Wrong indentation for "Step", expected indentation level of 2, but got 4\nlinha 21: Wrong indentation for "Step", expected indentation level of 2, but got 4\nlinha 21: Step "When I select "payment" from the drop down "Transaction Type"" should not appear after step using keyword then\nlinha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26: Step name is too long. Length of 87 is longer than the maximum allowed: 70\nlinha 28: Multiple empty lines are not allowed\nlinha 29: Multiple empty lines are not allowed\nlinha 31: Wrong indentation for "Step", expected indentation level of 2, but got 4\nlinha 31: Step name is too long. Length of 75 is longer than the maximum allowed: 70\nlinha 32: Wrong indentation for "Step", expected indentation level of 2, but got 4\nlinha 33: Wrong indentation for "Step", expected indentation level of 2, but got 4\nlinha 33: Step "When I enter "ABC" into "Description"" should not appear after step using keyword then\nlinha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38: Step name is too long. Length of 91 is longer than the maximum allowed: 70\nlinha 40: Multiple empty lines are not allowed\nlinha 41: Multiple empty lines are not allowed\nlinha 43: Wrong indentation for "Step", expected indentation level of 2, but got 4\nlinha 43: Step name is too long. Length of 75 is longer than the maximum allowed: 70\nlinha 44: Wrong indentation for "Step", expected indentation level of 2, but got 4\nlinha 45: Wrong indentation for "Step", expected indentation level of 2, but got 4\nlinha 45: Step "When I select "Approved"" should not appear after step using keyword then\nlinha 46: Wrong indentation for "Step", expected indentation level of 2, but got 4\nlinha 47: Wrong indentation for "Step", expected indentation level of 2, but got 4\nlinha 48: Wrong indentation for "Step", expected indentation level of 2, but got 4\nlinha 49: Wrong indentation for "Step", expected indentation level of 2, but got 4\nlinha 50: Wrong indentation for "Step", expected indentation level of 2, but got 4\nlinha 50: Step name is too long. Length of 87 is longer than the maximum allowed: 70\nlinha 52: Multiple empty lines are not allowed\nlinha 53: Multiple empty lines are not allowed</t>
  </si>
  <si>
    <t>ledgersmb_LedgerSMB\search-batches_story_processado.txt</t>
  </si>
  <si>
    <t>ledgersmb_LedgerSMB\search-batches_story_processado_relatorio.txt</t>
  </si>
  <si>
    <t>noosfero_noosfero\edit_block_of_links_story_processado</t>
  </si>
  <si>
    <t>noosfero_noosfero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</si>
  <si>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9: Step "When I click "div.icon"" should not appear after step using keyword then\nlinha 10: Wrong indentation for "Step", expected indentation level of 2, but got 4\nlinha 12: Multiple empty lines are not allowed\nlinha 13: Multiple empty lines are not allowed</t>
  </si>
  <si>
    <t>noosfero_noosfero\edit_block_of_links_story_processado.txt</t>
  </si>
  <si>
    <t>noosfero_noosfero\edit_block_of_links_story_processado_relatorio.txt</t>
  </si>
  <si>
    <t>noosfero_noosfero\forum_story_processado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</si>
  <si>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14: Multiple empty lines are not allowed\nlinha 15: Multiple empty lines are not allowed\nlinha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26: Multiple empty lines are not allowed\nlinha 27: Multiple empty lines are not allowed\nlinha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42: Wrong indentation for "Step", expected indentation level of 2, but got 4\nlinha 42: Step "Then I should not see "error"" should use And instead of Then\nlinha 43: Wrong indentation for "Step", expected indentation level of 2, but got 4\nlinha 45: Multiple empty lines are not allowed\nlinha 46: Multiple empty lines are not allowed\nlinha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53: Wrong indentation for "Step", expected indentation level of 2, but got 4\nlinha 54: Wrong indentation for "Step", expected indentation level of 2, but got 4\nlinha 56: Multiple empty lines are not allowed\nlinha 57: Multiple empty lines are not allowed\nlinha 60: Wrong indentation for "Step", expected indentation level of 2, but got 4\nlinha 61: Wrong indentation for "Step", expected indentation level of 2, but got 4\nlinha 62: Wrong indentation for "Step", expected indentation level of 2, but got 4\nlinha 63: Wrong indentation for "Step", expected indentation level of 2, but got 4\nlinha 64: Wrong indentation for "Step", expected indentation level of 2, but got 4\nlinha 66: Multiple empty lines are not allowed\nlinha 67: Multiple empty lines are not allowed\nlinha 70: Wrong indentation for "Step", expected indentation level of 2, but got 4\nlinha 71: Wrong indentation for "Step", expected indentation level of 2, but got 4\nlinha 72: Wrong indentation for "Step", expected indentation level of 2, but got 4\nlinha 73: Wrong indentation for "Step", expected indentation level of 2, but got 4\nlinha 74: Wrong indentation for "Step", expected indentation level of 2, but got 4\nlinha 75: Wrong indentation for "Step", expected indentation level of 2, but got 4\nlinha 76: Wrong indentation for "Step", expected indentation level of 2, but got 4\nlinha 77: Wrong indentation for "Step", expected indentation level of 2, but got 4\nlinha 78: Wrong indentation for "Step", expected indentation level of 2, but got 4\nlinha 80: Multiple empty lines are not allowed\nlinha 81: Multiple empty lines are not allowed\nlinha 82: Element Scenario too long: actual 18, expected 15\nlinha 84: Wrong indentation for "Step", expected indentation level of 2, but got 4\nlinha 85: Wrong indentation for "Step", expected indentation level of 2, but got 4\nlinha 86: Wrong indentation for "Step", expected indentation level of 2, but got 4\nlinha 87: Wrong indentation for "Step", expected indentation level of 2, but got 4\nlinha 88: Wrong indentation for "Step", expected indentation level of 2, but got 4\nlinha 89: Wrong indentation for "Step", expected indentation level of 2, but got 4\nlinha 90: Wrong indentation for "Step", expected indentation level of 2, but got 4\nlinha 91: Wrong indentation for "Step", expected indentation level of 2, but got 4\nlinha 92: Wrong indentation for "Step", expected indentation level of 2, but got 4\nlinha 93: Wrong indentation for "Step", expected indentation level of 2, but got 4\nlinha 93: Step "When I follow "New discussion topic"" should use And instead of When\nlinha 94: Wrong indentation for "Step", expected indentation level of 2, but got 4\nlinha 95: Wrong indentation for "Step", expected indentation level of 2, but got 4\nlinha 96: Wrong indentation for "Step", expected indentation level of 2, but got 4\nlinha 97: Wrong indentation for "Step", expected indentation level of 2, but got 4\nlinha 98: Wrong indentation for "Step", expected indentation level of 2, but got 4\nlinha 99: Wrong indentation for "Step", expected indentation level of 2, but got 4\nlinha 100: Wrong indentation for "Step", expected indentation level of 2, but got 4\nlinha 101: Wrong indentation for "Step", expected indentation level of 2, but got 4\nlinha 103: Multiple empty lines are not allowed\nlinha 104: Multiple empty lines are not allowed\nlinha 105: Element Scenario too long: actual 16, expected 15\nlinha 107: Wrong indentation for "Step", expected indentation level of 2, but got 4\nlinha 108: Wrong indentation for "Step", expected indentation level of 2, but got 4\nlinha 109: Wrong indentation for "Step", expected indentation level of 2, but got 4\nlinha 110: Wrong indentation for "Step", expected indentation level of 2, but got 4\nlinha 111: Wrong indentation for "Step", expected indentation level of 2, but got 4\nlinha 112: Wrong indentation for "Step", expected indentation level of 2, but got 4\nlinha 113: Wrong indentation for "Step", expected indentation level of 2, but got 4\nlinha 114: Wrong indentation for "Step", expected indentation level of 2, but got 4\nlinha 115: Wrong indentation for "Step", expected indentation level of 2, but got 4\nlinha 116: Wrong indentation for "Step", expected indentation level of 2, but got 4\nlinha 116: Step "When I follow "Logout"" should use And instead of When\nlinha 117: Wrong indentation for "Step", expected indentation level of 2, but got 4\nlinha 118: Wrong indentation for "Step", expected indentation level of 2, but got 4\nlinha 119: Wrong indentation for "Step", expected indentation level of 2, but got 4\nlinha 119: Step "When I follow "Accept"" should use And instead of When\nlinha 120: Wrong indentation for "Step", expected indentation level of 2, but got 4\nlinha 121: Wrong indentation for "Step", expected indentation level of 2, but got 4\nlinha 122: Wrong indentation for "Step", expected indentation level of 2, but got 4\nlinha 124: Multiple empty lines are not allowed\nlinha 125: Multiple empty lines are not allowed\nlinha 128: Wrong indentation for "Step", expected indentation level of 2, but got 4\nlinha 129: Wrong indentation for "Step", expected indentation level of 2, but got 4\nlinha 130: Wrong indentation for "Step", expected indentation level of 2, but got 4\nlinha 131: Wrong indentation for "Step", expected indentation level of 2, but got 4\nlinha 132: Wrong indentation for "Step", expected indentation level of 2, but got 4\nlinha 133: Wrong indentation for "Step", expected indentation level of 2, but got 4\nlinha 134: Wrong indentation for "Step", expected indentation level of 2, but got 4\nlinha 135: Wrong indentation for "Step", expected indentation level of 2, but got 4\nlinha 136: Wrong indentation for "Step", expected indentation level of 2, but got 4\nlinha 136: Step "When I follow "Logout"" should use And instead of When\nlinha 137: Wrong indentation for "Step", expected indentation level of 2, but got 4\nlinha 138: Wrong indentation for "Step", expected indentation level of 2, but got 4\nlinha 139: Wrong indentation for "Step", expected indentation level of 2, but got 4\nlinha 139: Step "When I follow "Accept"" should use And instead of When\nlinha 140: Wrong indentation for "Step", expected indentation level of 2, but got 4\nlinha 142: Multiple empty lines are not allowed\nlinha 143: Multiple empty lines are not allowed\nlinha 146: Wrong indentation for "Step", expected indentation level of 2, but got 4\nlinha 147: Wrong indentation for "Step", expected indentation level of 2, but got 4\nlinha 148: Wrong indentation for "Step", expected indentation level of 2, but got 4\nlinha 149: Wrong indentation for "Step", expected indentation level of 2, but got 4\nlinha 150: Wrong indentation for "Step", expected indentation level of 2, but got 4\nlinha 152: Multiple empty lines are not allowed\nlinha 153: Multiple empty lines are not allowed\nlinha 156: Wrong indentation for "Step", expected indentation level of 2, but got 4\nlinha 157: Wrong indentation for "Step", expected indentation level of 2, but got 4\nlinha 158: Wrong indentation for "Step", expected indentation level of 2, but got 4\nlinha 159: Wrong indentation for "Step", expected indentation level of 2, but got 4\nlinha 160: Wrong indentation for "Step", expected indentation level of 2, but got 4\nlinha 162: Multiple empty lines are not allowed\nlinha 163: Multiple empty lines are not allowed\nlinha 165: Wrong indentation for "Step", expected indentation level of 2, but got 4\nlinha 166: Wrong indentation for "Step", expected indentation level of 2, but got 4\nlinha 167: Wrong indentation for "Step", expected indentation level of 2, but got 4\nlinha 168: Wrong indentation for "Step", expected indentation level of 2, but got 4\nlinha 170: Multiple empty lines are not allowed\nlinha 171: Multiple empty lines are not allowed</t>
  </si>
  <si>
    <t>noosfero_noosfero\forum_story_processado.txt</t>
  </si>
  <si>
    <t>noosfero_noosfero\forum_story_processado_relatorio.txt</t>
  </si>
  <si>
    <t>noosfero_noosfero\manage_enterprises_story_processado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</si>
  <si>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8: Step "When I follow "My enterprises"" should not appear after step using keyword then\nlinha 9: Wrong indentation for "Step", expected indentation level of 2, but got 4\nlinha 10: Wrong indentation for "Step", expected indentation level of 2, but got 4\nlinha 11: Wrong indentation for "Step", expected indentation level of 2, but got 4\nlinha 11: Step "Then I should be on tangerine-dream's control panel" should use And instead of Then\nlinha 13: Multiple empty lines are not allowed\nlinha 14: Multiple empty lines are not allowed\nlinha 17: Wrong indentation for "Step", expected indentation level of 2, but got 4\nlinha 18: Wrong indentation for "Step", expected indentation level of 2, but got 4\nlinha 19: Wrong indentation for "Step", expected indentation level of 2, but got 4\nlinha 21: Multiple empty lines are not allowed\nlinha 22: Multiple empty lines are not allowed</t>
  </si>
  <si>
    <t>noosfero_noosfero\manage_enterprises_story_processado.txt</t>
  </si>
  <si>
    <t>noosfero_noosfero\manage_enterprises_story_processado_relatorio.txt</t>
  </si>
  <si>
    <t>noosfero_noosfero\status_story_processado</t>
  </si>
  <si>
    <t>linha 5: Wrong indentation for "Step", expected indentation level of 2, but got 4\nlinha 6: Wrong indentation for "Step", expected indentation level of 2, but got 4\nlinha 6: Step "Given I am on the environment control panel" should use And instead of Given\nlinha 7: Wrong indentation for "Step", expected indentation level of 2, but got 4\nlinha 7: Step "Given I follow "Plugins"" should use And instead of Given\nlinha 8: Wrong indentation for "Step", expected indentation level of 2, but got 4\nlinha 8: Step "Given I check "Comment Classification"" should use And instead of Given\nlinha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13: Step "Then I am logged in as "joaosilva"" should use And instead of Then\nlinha 14: Wrong indentation for "Step", expected indentation level of 2, but got 4\nlinha 14: Step "Given the following articles" should not appear after step using keyword then\nlinha 15: Wrong indentation for "Step", expected indentation level of 2, but got 4\nlinha 16: Wrong indentation for "Step", expected indentation level of 2, but got 4\nlinha 16: Step "Given I am on article "Article on a person profile"" should not appear after step using keyword then\nlinha 16: Step "Given I am on article "Article on a person profile"" should use And instead of Given\nlinha 17: Wrong indentation for "Step", expected indentation level of 2, but got 4\nlinha 18: Wrong indentation for "Step", expected indentation level of 2, but got 4\nlinha 20: Multiple empty lines are not allowed\nlinha 21: Multiple empty lines are not allowed\nlinha 24: Wrong indentation for "Step", expected indentation level of 2, but got 4\nlinha 25: Wrong indentation for "Step", expected indentation level of 2, but got 4\nlinha 25: Step "Given I am on the environment control panel" should use And instead of Given\nlinha 26: Wrong indentation for "Step", expected indentation level of 2, but got 4\nlinha 26: Step "Given I follow "Plugins"" should use And instead of Given\nlinha 27: Wrong indentation for "Step", expected indentation level of 2, but got 4\nlinha 27: Step "Given I check "Comment Classification"" should use And instead of Given\nlinha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32: Step "Then I am logged in as "joaosilva"" should use And instead of Then\nlinha 33: Wrong indentation for "Step", expected indentation level of 2, but got 4\nlinha 33: Step "Given I am on article "Article to comment"" should not appear after step using keyword then\nlinha 34: Wrong indentation for "Step", expected indentation level of 2, but got 4\nlinha 35: Wrong indentation for "Step", expected indentation level of 2, but got 4\nlinha 37: Multiple empty lines are not allowed\nlinha 38: Multiple empty lines are not allowed\nlinha 41: Wrong indentation for "Step", expected indentation level of 2, but got 4\nlinha 42: Wrong indentation for "Step", expected indentation level of 2, but got 4\nlinha 43: Wrong indentation for "Step", expected indentation level of 2, but got 4\nlinha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47: Step name is too long. Length of 79 is longer than the maximum allowed: 70\nlinha 48: Wrong indentation for "Step", expected indentation level of 2, but got 4\nlinha 48: Step "When I follow "Add a new status"" should not appear after step using keyword then\nlinha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54: Multiple empty lines are not allowed\nlinha 55: Multiple empty lines are not allowed\nlinha 58: Wrong indentation for "Step", expected indentation level of 2, but got 4\nlinha 59: Wrong indentation for "Step", expected indentation level of 2, but got 4\nlinha 59: Step "Given I am on the environment control panel" should use And instead of Given\nlinha 60: Wrong indentation for "Step", expected indentation level of 2, but got 4\nlinha 60: Step "Given I follow "Plugins"" should use And instead of Given\nlinha 61: Wrong indentation for "Step", expected indentation level of 2, but got 4\nlinha 61: Step "Given I check "Comment Classification"" should use And instead of Given\nlinha 62: Wrong indentation for "Step", expected indentation level of 2, but got 4\nlinha 63: Wrong indentation for "Step", expected indentation level of 2, but got 4\nlinha 64: Wrong indentation for "Step", expected indentation level of 2, but got 4\nlinha 65: Wrong indentation for "Step", expected indentation level of 2, but got 4\nlinha 66: Wrong indentation for "Step", expected indentation level of 2, but got 4\nlinha 66: Step "Then I am logged in as "joaosilva"" should use And instead of Then\nlinha 67: Wrong indentation for "Step", expected indentation level of 2, but got 4\nlinha 67: Step "Given the following status" should not appear after step using keyword then\nlinha 68: Wrong indentation for "Step", expected indentation level of 2, but got 4\nlinha 69: Wrong indentation for "Step", expected indentation level of 2, but got 4\nlinha 70: Wrong indentation for "Step", expected indentation level of 2, but got 4\nlinha 71: Wrong indentation for "Step", expected indentation level of 2, but got 4\nlinha 72: Wrong indentation for "Step", expected indentation level of 2, but got 4\nlinha 72: Step name is too long. Length of 83 is longer than the maximum allowed: 70\nlinha 72: Step "Then I should see "added the status Merged" within "#comment-classification-status-list"" should use And instead of Then\nlinha 74: Multiple empty lines are not allowed\nlinha 75: Multiple empty lines are not allowed\nlinha 78: Wrong indentation for "Step", expected indentation level of 2, but got 4\nlinha 79: Wrong indentation for "Step", expected indentation level of 2, but got 4\nlinha 79: Step "Given I am on the environment control panel" should use And instead of Given\nlinha 80: Wrong indentation for "Step", expected indentation level of 2, but got 4\nlinha 80: Step "Given I follow "Plugins"" should use And instead of Given\nlinha 81: Wrong indentation for "Step", expected indentation level of 2, but got 4\nlinha 81: Step "Given I check "Comment Classification"" should use And instead of Given\nlinha 82: Wrong indentation for "Step", expected indentation level of 2, but got 4\nlinha 83: Wrong indentation for "Step", expected indentation level of 2, but got 4\nlinha 84: Wrong indentation for "Step", expected indentation level of 2, but got 4\nlinha 85: Wrong indentation for "Step", expected indentation level of 2, but got 4\nlinha 86: Wrong indentation for "Step", expected indentation level of 2, but got 4\nlinha 86: Step "Then I am logged in as "joaosilva"" should use And instead of Then\nlinha 87: Wrong indentation for "Step", expected indentation level of 2, but got 4\nlinha 88: Wrong indentation for "Step", expected indentation level of 2, but got 4\nlinha 88: Step "When I go to article "Article to comment"" should not appear after step using keyword then\nlinha 89: Wrong indentation for "Step", expected indentation level of 2, but got 4\nlinha 90: Wrong indentation for "Step", expected indentation level of 2, but got 4\nlinha 92: Multiple empty lines are not allowed\nlinha 93: Multiple empty lines are not allowed</t>
  </si>
  <si>
    <t>noosfero_noosfero\status_story_processado.txt</t>
  </si>
  <si>
    <t>noosfero_noosfero\status_story_processado_relatorio.txt</t>
  </si>
  <si>
    <t>parti-renaissance_espace-adherent\agoras_story_processado</t>
  </si>
  <si>
    <t>parti-renaissance_espace-adherent</t>
  </si>
  <si>
    <t>linha 4: Wrong indentation for "Step", expected indentation level of 2, but got 4\nlinha 5: Wrong indentation for "Step", expected indentation level of 2, but got 4\nlinha 7: Multiple empty lines are not allowed\nlinha 8: Multiple empty lines are not allowed\nlinha 10: Wrong indentation for "Step", expected indentation level of 2, but got 4\nlinha 10: Step name is too long. Length of 107 is longer than the maximum allowed: 70\nlinha 11: Wrong indentation for "Step", expected indentation level of 2, but got 4\nlinha 12: Wrong indentation for "Step", expected indentation level of 2, but got 4\nlinha 13: Wrong indentation for "Step", expected indentation level of 2, but got 4\nlinha 15: Multiple empty lines are not allowed\nlinha 16: Multiple empty lines are not allowed\nlinha 18: Wrong indentation for "Step", expected indentation level of 2, but got 4\nlinha 18: Step name is too long. Length of 107 is longer than the maximum allowed: 70\nlinha 19: Wrong indentation for "Step", expected indentation level of 2, but got 4\nlinha 20: Wrong indentation for "Step", expected indentation level of 2, but got 4\nlinha 21: Wrong indentation for "Step", expected indentation level of 2, but got 4\nlinha 23: Multiple empty lines are not allowed\nlinha 24: Multiple empty lines are not allowed\nlinha 26: Wrong indentation for "Step", expected indentation level of 2, but got 4\nlinha 26: Step name is too long. Length of 99 is longer than the maximum allowed: 70\nlinha 27: Wrong indentation for "Step", expected indentation level of 2, but got 4\nlinha 27: Step name is too long. Length of 85 is longer than the maximum allowed: 70\nlinha 28: Wrong indentation for "Step", expected indentation level of 2, but got 4\nlinha 30: Multiple empty lines are not allowed\nlinha 31: Multiple empty lines are not allowed\nlinha 33: Wrong indentation for "Step", expected indentation level of 2, but got 4\nlinha 33: Step name is too long. Length of 103 is longer than the maximum allowed: 70\nlinha 34: Wrong indentation for "Step", expected indentation level of 2, but got 4\nlinha 34: Step name is too long. Length of 85 is longer than the maximum allowed: 70\nlinha 35: Wrong indentation for "Step", expected indentation level of 2, but got 4\nlinha 36: Wrong indentation for "Step", expected indentation level of 2, but got 4\nlinha 38: Multiple empty lines are not allowed\nlinha 39: Multiple empty lines are not allowed\nlinha 41: Wrong indentation for "Step", expected indentation level of 2, but got 4\nlinha 41: Step name is too long. Length of 103 is longer than the maximum allowed: 70\nlinha 42: Wrong indentation for "Step", expected indentation level of 2, but got 4\nlinha 42: Step name is too long. Length of 85 is longer than the maximum allowed: 70\nlinha 43: Wrong indentation for "Step", expected indentation level of 2, but got 4\nlinha 45: Multiple empty lines are not allowed\nlinha 46: Multiple empty lines are not allowed\nlinha 47: Scenario name is too long. Length of 79 is longer than the maximum allowed: 70\nlinha 48: Wrong indentation for "Step", expected indentation level of 2, but got 4\nlinha 48: Step name is too long. Length of 114 is longer than the maximum allowed: 70\nlinha 49: Wrong indentation for "Step", expected indentation level of 2, but got 4\nlinha 49: Step name is too long. Length of 85 is longer than the maximum allowed: 70\nlinha 50: Wrong indentation for "Step", expected indentation level of 2, but got 4\nlinha 51: Wrong indentation for "Step", expected indentation level of 2, but got 4\nlinha 53: Multiple empty lines are not allowed\nlinha 54: Multiple empty lines are not allowed\nlinha 56: Wrong indentation for "Step", expected indentation level of 2, but got 4\nlinha 56: Step name is too long. Length of 114 is longer than the maximum allowed: 70\nlinha 57: Wrong indentation for "Step", expected indentation level of 2, but got 4\nlinha 57: Step name is too long. Length of 85 is longer than the maximum allowed: 70\nlinha 58: Wrong indentation for "Step", expected indentation level of 2, but got 4\nlinha 59: Wrong indentation for "Step", expected indentation level of 2, but got 4\nlinha 61: Multiple empty lines are not allowed\nlinha 62: Multiple empty lines are not allowed\nlinha 64: Wrong indentation for "Step", expected indentation level of 2, but got 4\nlinha 64: Step name is too long. Length of 109 is longer than the maximum allowed: 70\nlinha 65: Wrong indentation for "Step", expected indentation level of 2, but got 4\nlinha 65: Step name is too long. Length of 88 is longer than the maximum allowed: 70\nlinha 66: Wrong indentation for "Step", expected indentation level of 2, but got 4\nlinha 67: Wrong indentation for "Step", expected indentation level of 2, but got 4\nlinha 69: Multiple empty lines are not allowed\nlinha 70: Multiple empty lines are not allowed\nlinha 72: Wrong indentation for "Step", expected indentation level of 2, but got 4\nlinha 72: Step name is too long. Length of 103 is longer than the maximum allowed: 70\nlinha 73: Wrong indentation for "Step", expected indentation level of 2, but got 4\nlinha 73: Step name is too long. Length of 88 is longer than the maximum allowed: 70\nlinha 74: Wrong indentation for "Step", expected indentation level of 2, but got 4\nlinha 75: Wrong indentation for "Step", expected indentation level of 2, but got 4\nlinha 77: Multiple empty lines are not allowed\nlinha 78: Multiple empty lines are not allowed\nlinha 80: Wrong indentation for "Step", expected indentation level of 2, but got 4\nlinha 80: Step name is too long. Length of 103 is longer than the maximum allowed: 70\nlinha 81: Wrong indentation for "Step", expected indentation level of 2, but got 4\nlinha 81: Step name is too long. Length of 72 is longer than the maximum allowed: 70\nlinha 82: Wrong indentation for "Step", expected indentation level of 2, but got 4\nlinha 83: Wrong indentation for "Step", expected indentation level of 2, but got 4\nlinha 85: Multiple empty lines are not allowed\nlinha 86: Multiple empty lines are not allowed\nlinha 88: Wrong indentation for "Step", expected indentation level of 2, but got 4\nlinha 88: Step name is too long. Length of 107 is longer than the maximum allowed: 70\nlinha 89: Wrong indentation for "Step", expected indentation level of 2, but got 4\nlinha 89: Step name is too long. Length of 118 is longer than the maximum allowed: 70\nlinha 90: Wrong indentation for "Step", expected indentation level of 2, but got 4\nlinha 91: Wrong indentation for "Step", expected indentation level of 2, but got 4\nlinha 93: Multiple empty lines are not allowed\nlinha 94: Multiple empty lines are not allowed</t>
  </si>
  <si>
    <t>parti-renaissance_espace-adherent\agoras_story_processado.txt</t>
  </si>
  <si>
    <t>parti-renaissance_espace-adherent\agoras_story_processado_relatorio.txt</t>
  </si>
  <si>
    <t>parti-renaissance_espace-adherent\scopes_story_processado</t>
  </si>
  <si>
    <t>linha 3: Trailing spaces are not allowed\nlinha 3: Missing Scenario name\nlinha 4: Wrong indentation for "Step", expected indentation level of 2, but got 4\nlinha 4: Step name is too long. Length of 75 is longer than the maximum allowed: 70\nlinha 5: Wrong indentation for "Step", expected indentation level of 2, but got 4\nlinha 5: Step "When I send a "GET" request to "/api/v3/profile/me/scopes"" should use And instead of When\nlinha 6: Wrong indentation for "Step", expected indentation level of 2, but got 4\nlinha 7: Wrong indentation for "Step", expected indentation level of 2, but got 4\nlinha 8: Wrong indentation for "Step", expected indentation level of 2, but got 4\nlinha 10: Multiple empty lines are not allowed\nlinha 11: Multiple empty lines are not allowed\nlinha 12: Scenario name is already used in: output/6-FeatureEvaluation/featuresToEvaluation/Originais/parti-renaissance_espace-adherent/scopes_story_processado.feature:3\nlinha 12: Trailing spaces are not allowed\nlinha 12: Missing Scenario name\nlinha 13: Wrong indentation for "Step", expected indentation level of 2, but got 4\nlinha 13: Step name is too long. Length of 75 is longer than the maximum allowed: 70\nlinha 14: Wrong indentation for "Step", expected indentation level of 2, but got 4\nlinha 14: Step "When I send a "GET" request to "/api/v3/profile/me/scope/deputy"" should use And instead of When\nlinha 15: Wrong indentation for "Step", expected indentation level of 2, but got 4\nlinha 16: Wrong indentation for "Step", expected indentation level of 2, but got 4\nlinha 17: Wrong indentation for "Step", expected indentation level of 2, but got 4\nlinha 19: Multiple empty lines are not allowed\nlinha 20: Multiple empty lines are not allowed\nlinha 21: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output/6-FeatureEvaluation/featuresToEvaluation/Originais/parti-renaissance_espace-adherent/scopes_story_processado.feature:12\nlinha 21: Trailing spaces are not allowed\nlinha 21: Missing Scenario name\nlinha 22: Wrong indentation for "Step", expected indentation level of 2, but got 4\nlinha 22: Step name is too long. Length of 75 is longer than the maximum allowed: 70\nlinha 23: Wrong indentation for "Step", expected indentation level of 2, but got 4\nlinha 23: Step "When I send a "GET" request to "/api/v3/profile/me/scope/national"" should use And instead of When\nlinha 24: Wrong indentation for "Step", expected indentation level of 2, but got 4\nlinha 25: Wrong indentation for "Step", expected indentation level of 2, but got 4\nlinha 26: Wrong indentation for "Step", expected indentation level of 2, but got 4\nlinha 28: Multiple empty lines are not allowed\nlinha 29: Multiple empty lines are not allowed\nlinha 30: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output/6-FeatureEvaluation/featuresToEvaluation/Originais/parti-renaissance_espace-adherent/scopes_story_processado.feature:21\nlinha 30: Trailing spaces are not allowed\nlinha 30: Missing Scenario name\nlinha 31: Wrong indentation for "Step", expected indentation level of 2, but got 4\nlinha 31: Step name is too long. Length of 80 is longer than the maximum allowed: 70\nlinha 32: Wrong indentation for "Step", expected indentation level of 2, but got 4\nlinha 32: Step "When I send a "GET" request to "/api/v3/profile/me/scopes"" should use And instead of When\nlinha 33: Wrong indentation for "Step", expected indentation level of 2, but got 4\nlinha 34: Wrong indentation for "Step", expected indentation level of 2, but got 4\nlinha 36: Multiple empty lines are not allowed\nlinha 37: Multiple empty lines are not allowed\nlinha 38: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output/6-FeatureEvaluation/featuresToEvaluation/Originais/parti-renaissance_espace-adherent/scopes_story_processado.feature:30\nlinha 38: Trailing spaces are not allowed\nlinha 38: Missing Scenario name\nlinha 39: Wrong indentation for "Step", expected indentation level of 2, but got 4\nlinha 39: Step name is too long. Length of 80 is longer than the maximum allowed: 70\nlinha 40: Wrong indentation for "Step", expected indentation level of 2, but got 4\nlinha 40: Step name is too long. Length of 99 is longer than the maximum allowed: 70\nlinha 40: Step "When I send a "GET" request to "/api/v3/profile/me/scope/delegated_d2315289-a3fd-419c-a3dd-3e1ff71b754d"" should use And instead of When\nlinha 41: Wrong indentation for "Step", expected indentation level of 2, but got 4\nlinha 42: Wrong indentation for "Step", expected indentation level of 2, but got 4\nlinha 43: Wrong indentation for "Step", expected indentation level of 2, but got 4\nlinha 45: Multiple empty lines are not allowed\nlinha 46: Multiple empty lines are not allowed\nlinha 47: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output/6-FeatureEvaluation/featuresToEvaluation/Originais/parti-renaissance_espace-adherent/scopes_story_processado.feature:38\nlinha 47: Trailing spaces are not allowed\nlinha 47: Missing Scenario name\nlinha 48: Wrong indentation for "Step", expected indentation level of 2, but got 4\nlinha 48: Step name is too long. Length of 77 is longer than the maximum allowed: 70\nlinha 49: Wrong indentation for "Step", expected indentation level of 2, but got 4\nlinha 49: Step name is too long. Length of 99 is longer than the maximum allowed: 70\nlinha 49: Step "When I send a "GET" request to "/api/v3/profile/me/scope/delegated_08f40730-d807-4975-8773-69d8fae1da74"" should use And instead of When\nlinha 50: Wrong indentation for "Step", expected indentation level of 2, but got 4\nlinha 51: Wrong indentation for "Step", expected indentation level of 2, but got 4\nlinha 52: Wrong indentation for "Step", expected indentation level of 2, but got 4\nlinha 54: Multiple empty lines are not allowed\nlinha 55: Multiple empty lines are not allowed\nlinha 56: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output/6-FeatureEvaluation/featuresToEvaluation/Originais/parti-renaissance_espace-adherent/scopes_story_processado.feature:47\nlinha 56: Trailing spaces are not allowed\nlinha 56: Missing Scenario name\nlinha 57: Wrong indentation for "Step", expected indentation level of 2, but got 4\nlinha 57: Step name is too long. Length of 85 is longer than the maximum allowed: 70\nlinha 58: Wrong indentation for "Step", expected indentation level of 2, but got 4\nlinha 59: Wrong indentation for "Step", expected indentation level of 2, but got 4\nlinha 60: Wrong indentation for "Step", expected indentation level of 2, but got 4\nlinha 61: Wrong indentation for "Step", expected indentation level of 2, but got 4\nlinha 63: Multiple empty lines are not allowed\nlinha 64: Multiple empty lines are not allowed\nlinha 65: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output/6-FeatureEvaluation/featuresToEvaluation/Originais/parti-renaissance_espace-adherent/scopes_story_processado.feature:47, output/6-FeatureEvaluation/featuresToEvaluation/Originais/parti-renaissance_espace-adherent/scopes_story_processado.feature:56\nlinha 65: Trailing spaces are not allowed\nlinha 65: Missing Scenario name\nlinha 66: Wrong indentation for "Step", expected indentation level of 2, but got 4\nlinha 66: Step name is too long. Length of 80 is longer than the maximum allowed: 70\nlinha 67: Wrong indentation for "Step", expected indentation level of 2, but got 4\nlinha 67: Step "When I send a "GET" request to "/api/v3/profile/me/scope/test"" should use And instead of When\nlinha 68: Wrong indentation for "Step", expected indentation level of 2, but got 4\nlinha 70: Multiple empty lines are not allowed\nlinha 71: Multiple empty lines are not allowed</t>
  </si>
  <si>
    <t>parti-renaissance_espace-adherent\scopes_story_processado.txt</t>
  </si>
  <si>
    <t>parti-renaissance_espace-adherent\scopes_story_processado_relatorio.txt</t>
  </si>
  <si>
    <t>parti-renaissance_espace-adherent\user_controller_donation_story_processado</t>
  </si>
  <si>
    <t>linha 3: Scenario name is too long. Length of 77 is longer than the maximum allowed: 70\nlinha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8: Step "When I follow "Mettre fin à mon don mensuel"" should not appear after step using keyword then\nlinha 9: Wrong indentation for "Step", expected indentation level of 2, but got 4\nlinha 10: Wrong indentation for "Step", expected indentation level of 2, but got 4\nlinha 11: Wrong indentation for "Step", expected indentation level of 2, but got 4\nlinha 11: Step "When I press "Non"" should not appear after step using keyword then\nlinha 12: Wrong indentation for "Step", expected indentation level of 2, but got 4\nlinha 13: Wrong indentation for "Step", expected indentation level of 2, but got 4\nlinha 13: Step "When I follow "Mettre fin à mon don mensuel"" should not appear after step using keyword then\nlinha 14: Wrong indentation for "Step", expected indentation level of 2, but got 4\nlinha 14: Step "When I press "Oui"" should not appear after step using keyword then\nlinha 14: Step "When I press "Oui"" should use And instead of When\nlinha 15: Wrong indentation for "Step", expected indentation level of 2, but got 4\nlinha 16: Wrong indentation for "Step", expected indentation level of 2, but got 4\nlinha 16: Step name is too long. Length of 77 is longer than the maximum allowed: 70\nlinha 18: Multiple empty lines are not allowed\nlinha 19: Multiple empty lines are not allowed</t>
  </si>
  <si>
    <t>parti-renaissance_espace-adherent\user_controller_donation_story_processado.txt</t>
  </si>
  <si>
    <t>parti-renaissance_espace-adherent\user_controller_donation_story_processado_relatorio.txt</t>
  </si>
  <si>
    <t>parti-renaissance_espace-adherent\zones_story_processado</t>
  </si>
  <si>
    <t>linha 3: Scenario name is too long. Length of 74 is longer than the maximum allowed: 70\nlinha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8: Step "When I send a "GET" request to "/api/zones" with parameters:" should not appear after step using keyword then\nlinha 9: Wrong indentation for "Step", expected indentation level of 2, but got 4\nlinha 10: Wrong indentation for "Step", expected indentation level of 2, but got 4\nlinha 11: Wrong indentation for "Step", expected indentation level of 2, but got 4\nlinha 13: Multiple empty lines are not allowed\nlinha 14: Multiple empty lines are not allowed\nlinha 15: Scenario name is too long. Length of 80 is longer than the maximum allowed: 70\nlinha 16: Wrong indentation for "Step", expected indentation level of 2, but got 4\nlinha 16: Step name is too long. Length of 77 is longer than the maximum allowed: 70\nlinha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22: Multiple empty lines are not allowed\nlinha 23: Multiple empty lines are not allowed\nlinha 24: Scenario name is too long. Length of 80 is longer than the maximum allowed: 70\nlinha 24: Scenario name is already used in: output/6-FeatureEvaluation/featuresToEvaluation/Originais/parti-renaissance_espace-adherent/zones_story_processado.feature:15\nlinha 25: Wrong indentation for "Step", expected indentation level of 2, but got 4\nlinha 25: Step name is too long. Length of 77 is longer than the maximum allowed: 70\nlinha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31: Multiple empty lines are not allowed\nlinha 32: Multiple empty lines are not allowed</t>
  </si>
  <si>
    <t>parti-renaissance_espace-adherent\zones_story_processado.txt</t>
  </si>
  <si>
    <t>parti-renaissance_espace-adherent\zones_story_processado_relatorio.txt</t>
  </si>
  <si>
    <t>sharetribe_sharetribe\admin_edits_welcome_email_story_processado</t>
  </si>
  <si>
    <t>sharetribe_sharetribe</t>
  </si>
  <si>
    <t>linha 3: Element Scenario too long: actual 16, expected 15\nlinha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9: Step "When I follow "Edit message"" should not appear after step using keyword then\nlinha 10: Wrong indentation for "Step", expected indentation level of 2, but got 4\nlinha 11: Wrong indentation for "Step", expected indentation level of 2, but got 4\nlinha 11: Step "When I send keys "This is a new line to welcome email" to editor" should not appear after step using keyword then\nlinha 12: Wrong indentation for "Step", expected indentation level of 2, but got 4\nlinha 13: Wrong indentation for "Step", expected indentation level of 2, but got 4\nlinha 14: Wrong indentation for "Step", expected indentation level of 2, but got 4\nlinha 14: Step "When I refresh the page" should not appear after step using keyword then\nlinha 15: Wrong indentation for "Step", expected indentation level of 2, but got 4\nlinha 16: Wrong indentation for "Step", expected indentation level of 2, but got 4\nlinha 16: Step "When I follow "Send test message"" should not appear after step using keyword then\nlinha 17: Wrong indentation for "Step", expected indentation level of 2, but got 4\nlinha 18: Wrong indentation for "Step", expected indentation level of 2, but got 4\nlinha 19: Wrong indentation for "Step", expected indentation level of 2, but got 4\nlinha 19: Step "When I open the email" should not appear after step using keyword then\nlinha 20: Wrong indentation for "Step", expected indentation level of 2, but got 4\nlinha 22: Multiple empty lines are not allowed\nlinha 23: Multiple empty lines are not allowed\nlinha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32: Step name is too long. Length of 83 is longer than the maximum allowed: 70\nlinha 33: Wrong indentation for "Step", expected indentation level of 2, but got 4\nlinha 34: Wrong indentation for "Step", expected indentation level of 2, but got 4\nlinha 34: Step "When I follow "change sender email"" should not appear after step using keyword then\nlinha 35: Wrong indentation for "Step", expected indentation level of 2, but got 4\nlinha 36: Wrong indentation for "Step", expected indentation level of 2, but got 4\nlinha 37: Wrong indentation for "Step", expected indentation level of 2, but got 4\nlinha 38: Wrong indentation for "Step", expected indentation level of 2, but got 4\nlinha 38: Step name is too long. Length of 91 is longer than the maximum allowed: 70\nlinha 40: Multiple empty lines are not allowed\nlinha 41: Multiple empty lines are not allowed</t>
  </si>
  <si>
    <t>sharetribe_sharetribe\admin_edits_welcome_email_story_processado.txt</t>
  </si>
  <si>
    <t>sharetribe_sharetribe\admin_edits_welcome_email_story_processado_relatorio.txt</t>
  </si>
  <si>
    <t>sharetribe_sharetribe\search_story_processado</t>
  </si>
  <si>
    <t>linha 5: Wrong indentation for "Step", expected indentation level of 2, but got 4\nlinha 6: Wrong indentation for "Step", expected indentation level of 2, but got 4\nlinha 7: Wrong indentation for "Step", expected indentation level of 2, but got 4\nlinha 9: Multiple empty lines are not allowed\nlinha 10: Multiple empty lines are not allowed\nlinha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16: Step name is too long. Length of 73 is longer than the maximum allowed: 70\nlinha 18: Multiple empty lines are not allowed\nlinha 19: Multiple empty lines are not allowed\nlinha 22: Wrong indentation for "Step", expected indentation level of 2, but got 4\nlinha 23: Wrong indentation for "Step", expected indentation level of 2, but got 4\nlinha 24: Wrong indentation for "Step", expected indentation level of 2, but got 4\nlinha 26: Multiple empty lines are not allowed\nlinha 27: Multiple empty lines are not allowed\nlinha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33: Step "When I fill in "q" with "ofa"" should not appear after step using keyword then\nlinha 34: Wrong indentation for "Step", expected indentation level of 2, but got 4\nlinha 35: Wrong indentation for "Step", expected indentation level of 2, but got 4\nlinha 37: Multiple empty lines are not allowed\nlinha 38: Multiple empty lines are not allowed\nlinha 41: Wrong indentation for "Step", expected indentation level of 2, but got 4\nlinha 41: Step name is too long. Length of 74 is longer than the maximum allowed: 70\nlinha 42: Wrong indentation for "Step", expected indentation level of 2, but got 4\nlinha 43: Wrong indentation for "Step", expected indentation level of 2, but got 4\nlinha 44: Wrong indentation for "Step", expected indentation level of 2, but got 4\nlinha 44: Step "Then I should see "light-weigth plastic outdoor sofa"" should use And instead of Then\nlinha 45: Wrong indentation for "Step", expected indentation level of 2, but got 4\nlinha 45: Step "When I set search range for numeric filter "Weight (kg)" between "100" and "200"" should not appear after step using keyword then\nlinha 45: Step name is too long. Length of 75 is longer than the maximum allowed: 70\nlinha 46: Wrong indentation for "Step", expected indentation level of 2, but got 4\nlinha 47: Wrong indentation for "Step", expected indentation level of 2, but got 4\nlinha 48: Wrong indentation for "Step", expected indentation level of 2, but got 4\nlinha 48: Step "Then I should not see "light-weigth plastic outdoor sofa"" should use And instead of Then\nlinha 49: Wrong indentation for "Step", expected indentation level of 2, but got 4\nlinha 49: Step "When I fill in "q" with "light-weight"" should not appear after step using keyword then\nlinha 50: Wrong indentation for "Step", expected indentation level of 2, but got 4\nlinha 51: Wrong indentation for "Step", expected indentation level of 2, but got 4\nlinha 51: Step name is too long. Length of 73 is longer than the maximum allowed: 70\nlinha 53: Multiple empty lines are not allowed\nlinha 54: Multiple empty lines are not allowed\nlinha 57: Wrong indentation for "Step", expected indentation level of 2, but got 4\nlinha 58: Wrong indentation for "Step", expected indentation level of 2, but got 4\nlinha 59: Wrong indentation for "Step", expected indentation level of 2, but got 4\nlinha 60: Wrong indentation for "Step", expected indentation level of 2, but got 4\nlinha 60: Step "Then I should not see "light-weigth plastic outdoor sofa"" should use And instead of Then\nlinha 61: Wrong indentation for "Step", expected indentation level of 2, but got 4\nlinha 61: Step "When I set price range between "500" and "1000"" should not appear after step using keyword then\nlinha 62: Wrong indentation for "Step", expected indentation level of 2, but got 4\nlinha 63: Wrong indentation for "Step", expected indentation level of 2, but got 4\nlinha 63: Step name is too long. Length of 73 is longer than the maximum allowed: 70\nlinha 65: Multiple empty lines are not allowed\nlinha 66: Multiple empty lines are not allowed\nlinha 69: Wrong indentation for "Step", expected indentation level of 2, but got 4\nlinha 70: Wrong indentation for "Step", expected indentation level of 2, but got 4\nlinha 71: Wrong indentation for "Step", expected indentation level of 2, but got 4\nlinha 72: Wrong indentation for "Step", expected indentation level of 2, but got 4\nlinha 72: Step "Then I should see "light-weigth plastic outdoor sofa"" should use And instead of Then\nlinha 73: Wrong indentation for "Step", expected indentation level of 2, but got 4\nlinha 73: Step "When I check "Outdoors"" should not appear after step using keyword then\nlinha 74: Wrong indentation for "Step", expected indentation level of 2, but got 4\nlinha 75: Wrong indentation for "Step", expected indentation level of 2, but got 4\nlinha 76: Wrong indentation for "Step", expected indentation level of 2, but got 4\nlinha 76: Step "Then I should see "light-weigth plastic outdoor sofa"" should use And instead of Then\nlinha 77: Wrong indentation for "Step", expected indentation level of 2, but got 4\nlinha 77: Step "When I check "Indoors"" should not appear after step using keyword then\nlinha 78: Wrong indentation for "Step", expected indentation level of 2, but got 4\nlinha 79: Wrong indentation for "Step", expected indentation level of 2, but got 4\nlinha 80: Wrong indentation for "Step", expected indentation level of 2, but got 4\nlinha 80: Step "Then I should not see "light-weigth plastic outdoor sofa"" should use And instead of Then\nlinha 82: Multiple empty lines are not allowed\nlinha 83: Multiple empty lines are not allowed</t>
  </si>
  <si>
    <t>sharetribe_sharetribe\search_story_processado.txt</t>
  </si>
  <si>
    <t>sharetribe_sharetribe\search_story_processado_relatorio.txt</t>
  </si>
  <si>
    <t>sharetribe_sharetribe\user_checks_inbox_story_processado</t>
  </si>
  <si>
    <t>linha 4: Wrong indentation for "Step", expected indentation level of 2, but got 4\nlinha 4: Step name is too long. Length of 125 is longer than the maximum allowed: 70\nlinha 5: Wrong indentation for "Step", expected indentation level of 2, but got 4\nlinha 5: Step name is too long. Length of 77 is longer than the maximum allowed: 70\nlinha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11: Multiple empty lines are not allowed\nlinha 12: Multiple empty lines are not allowed\nlinha 14: Wrong indentation for "Step", expected indentation level of 2, but got 4\nlinha 14: Step name is too long. Length of 125 is longer than the maximum allowed: 70\nlinha 15: Wrong indentation for "Step", expected indentation level of 2, but got 4\nlinha 15: Step name is too long. Length of 77 is longer than the maximum allowed: 70\nlinha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21: Multiple empty lines are not allowed\nlinha 22: Multiple empty lines are not allowed\nlinha 23: Scenario name is too long. Length of 81 is longer than the maximum allowed: 70\nlinha 23: Element Scenario too long: actual 35, expected 15\nlinha 24: Wrong indentation for "Step", expected indentation level of 2, but got 4\nlinha 24: Step name is too long. Length of 125 is longer than the maximum allowed: 70\nlinha 25: Wrong indentation for "Step", expected indentation level of 2, but got 4\nlinha 26: Wrong indentation for "Step", expected indentation level of 2, but got 4\nlinha 27: Wrong indentation for "Step", expected indentation level of 2, but got 4\nlinha 27: Step "Given there is a message "Reply to massage" from "kassi_testperson2" about that listing" should not appear after step using keyword then\nlinha 27: Step name is too long. Length of 81 is longer than the maximum allowed: 70\nlinha 28: Wrong indentation for "Step", expected indentation level of 2, but got 4\nlinha 28: Step "When I refresh the page" should not appear after step using keyword then\nlinha 29: Wrong indentation for "Step", expected indentation level of 2, but got 4\nlinha 30: Wrong indentation for "Step", expected indentation level of 2, but got 4\nlinha 30: Step "Given there is a message "Another test" from "kassi_testperson3" about that listing" should not appear after step using keyword then\nlinha 30: Step name is too long. Length of 77 is longer than the maximum allowed: 70\nlinha 31: Wrong indentation for "Step", expected indentation level of 2, but got 4\nlinha 31: Step "When I refresh the page" should not appear after step using keyword then\nlinha 32: Wrong indentation for "Step", expected indentation level of 2, but got 4\nlinha 33: Wrong indentation for "Step", expected indentation level of 2, but got 4\nlinha 33: Step "Given there is a reply "great" to that message by "kassi_testperson1"" should not appear after step using keyword then\nlinha 34: Wrong indentation for "Step", expected indentation level of 2, but got 4\nlinha 34: Step "When I refresh the page" should not appear after step using keyword then\nlinha 35: Wrong indentation for "Step", expected indentation level of 2, but got 4\nlinha 36: Wrong indentation for "Step", expected indentation level of 2, but got 4\nlinha 36: Step "Given there is a listing with title "Apartment" from "kassi_testperson2" with category "Spaces" and with listing shape "Selling"" should not appear after step using keyword then\nlinha 36: Step name is too long. Length of 122 is longer than the maximum allowed: 70\nlinha 37: Wrong indentation for "Step", expected indentation level of 2, but got 4\nlinha 38: Wrong indentation for "Step", expected indentation level of 2, but got 4\nlinha 38: Step name is too long. Length of 118 is longer than the maximum allowed: 70\nlinha 39: Wrong indentation for "Step", expected indentation level of 2, but got 4\nlinha 40: Wrong indentation for "Step", expected indentation level of 2, but got 4\nlinha 40: Step name is too long. Length of 140 is longer than the maximum allowed: 70\nlinha 41: Wrong indentation for "Step", expected indentation level of 2, but got 4\nlinha 42: Wrong indentation for "Step", expected indentation level of 2, but got 4\nlinha 42: Step "When I refresh the page" should not appear after step using keyword then\nlinha 43: Wrong indentation for "Step", expected indentation level of 2, but got 4\nlinha 44: Wrong indentation for "Step", expected indentation level of 2, but got 4\nlinha 45: Wrong indentation for "Step", expected indentation level of 2, but got 4\nlinha 45: Step "When I refresh the page" should not appear after step using keyword then\nlinha 46: Wrong indentation for "Step", expected indentation level of 2, but got 4\nlinha 47: Wrong indentation for "Step", expected indentation level of 2, but got 4\nlinha 47: Step "When I follow inbox link" should not appear after step using keyword then\nlinha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53: Wrong indentation for "Step", expected indentation level of 2, but got 4\nlinha 54: Wrong indentation for "Step", expected indentation level of 2, but got 4\nlinha 55: Wrong indentation for "Step", expected indentation level of 2, but got 4\nlinha 56: Wrong indentation for "Step", expected indentation level of 2, but got 4\nlinha 57: Wrong indentation for "Step", expected indentation level of 2, but got 4\nlinha 58: Wrong indentation for "Step", expected indentation level of 2, but got 4\nlinha 60: Multiple empty lines are not allowed\nlinha 61: Multiple empty lines are not allowed\nlinha 62: Scenario name is too long. Length of 77 is longer than the maximum allowed: 70\nlinha 62: Element Scenario too long: actual 20, expected 15\nlinha 63: Wrong indentation for "Step", expected indentation level of 2, but got 4\nlinha 63: Step name is too long. Length of 125 is longer than the maximum allowed: 70\nlinha 64: Wrong indentation for "Step", expected indentation level of 2, but got 4\nlinha 64: Step name is too long. Length of 81 is longer than the maximum allowed: 70\nlinha 65: Wrong indentation for "Step", expected indentation level of 2, but got 4\nlinha 65: Step name is too long. Length of 77 is longer than the maximum allowed: 70\nlinha 66: Wrong indentation for "Step", expected indentation level of 2, but got 4\nlinha 67: Wrong indentation for "Step", expected indentation level of 2, but got 4\nlinha 67: Step name is too long. Length of 122 is longer than the maximum allowed: 70\nlinha 68: Wrong indentation for "Step", expected indentation level of 2, but got 4\nlinha 69: Wrong indentation for "Step", expected indentation level of 2, but got 4\nlinha 69: Step name is too long. Length of 118 is longer than the maximum allowed: 70\nlinha 70: Wrong indentation for "Step", expected indentation level of 2, but got 4\nlinha 71: Wrong indentation for "Step", expected indentation level of 2, but got 4\nlinha 71: Step name is too long. Length of 140 is longer than the maximum allowed: 70\nlinha 72: Wrong indentation for "Step", expected indentation level of 2, but got 4\nlinha 73: Wrong indentation for "Step", expected indentation level of 2, but got 4\nlinha 74: Wrong indentation for "Step", expected indentation level of 2, but got 4\nlinha 75: Wrong indentation for "Step", expected indentation level of 2, but got 4\nlinha 76: Wrong indentation for "Step", expected indentation level of 2, but got 4\nlinha 77: Wrong indentation for "Step", expected indentation level of 2, but got 4\nlinha 78: Wrong indentation for "Step", expected indentation level of 2, but got 4\nlinha 79: Wrong indentation for "Step", expected indentation level of 2, but got 4\nlinha 80: Wrong indentation for "Step", expected indentation level of 2, but got 4\nlinha 81: Wrong indentation for "Step", expected indentation level of 2, but got 4\nlinha 82: Wrong indentation for "Step", expected indentation level of 2, but got 4\nlinha 84: Multiple empty lines are not allowed\nlinha 85: Multiple empty lines are not allowed\nlinha 87: Wrong indentation for "Step", expected indentation level of 2, but got 4\nlinha 88: Wrong indentation for "Step", expected indentation level of 2, but got 4\nlinha 89: Wrong indentation for "Step", expected indentation level of 2, but got 4\nlinha 89: Step name is too long. Length of 94 is longer than the maximum allowed: 70\nlinha 90: Wrong indentation for "Step", expected indentation level of 2, but got 4\nlinha 92: Multiple empty lines are not allowed\nlinha 93: Multiple empty lines are not allowed</t>
  </si>
  <si>
    <t>sharetribe_sharetribe\user_checks_inbox_story_processado.txt</t>
  </si>
  <si>
    <t>sharetribe_sharetribe\user_checks_inbox_story_processado_relatorio.txt</t>
  </si>
  <si>
    <t>sharetribe_sharetribe\user_filters_listings_by_custom_fields_story_processado</t>
  </si>
  <si>
    <t>linha 1: Feature name is too long. Length of 55 is longer than the maximum allowed: 50\nlinha 3: Element Scenario too long: actual 50, expected 15\nlinha 5: Wrong indentation for "Step", expected indentation level of 2, but got 4\nlinha 6: Wrong indentation for "Step", expected indentation level of 2, but got 4\nlinha 7: Wrong indentation for "Step", expected indentation level of 2, but got 4\nlinha 8: Wrong indentation for "Step", expected indentation level of 2, but got 4\nlinha 9: Wrong indentation for "Step", expected indentation level of 2, but got 4\nlinha 10: Wrong indentation for "Step", expected indentation level of 2, but got 4\nlinha 11: Wrong indentation for "Step", expected indentation level of 2, but got 4\nlinha 11: Step "When I check "house"" should not appear after step using keyword then\nlinha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17: Step "When I uncheck "condo"" should not appear after step using keyword then\nlinha 18: Wrong indentation for "Step", expected indentation level of 2, but got 4\nlinha 19: Wrong indentation for "Step", expected indentation level of 2, but got 4\nlinha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25: Step "Then I should not see "Apartment"" should use And instead of Then\nlinha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29: Step "When I uncheck "house"" should not appear after step using keyword then\nlinha 30: Wrong indentation for "Step", expected indentation level of 2, but got 4\nlinha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35: Step "When I check "glazed"" should not appear after step using keyword then\nlinha 36: Wrong indentation for "Step", expected indentation level of 2, but got 4\nlinha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41: Wrong indentation for "Step", expected indentation level of 2, but got 4\nlinha 41: Step "When I check "house"" should not appear after step using keyword then\nlinha 42: Wrong indentation for "Step", expected indentation level of 2, but got 4\nlinha 43: Wrong indentation for "Step", expected indentation level of 2, but got 4\nlinha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47: Step "When I uncheck "house"" should not appear after step using keyword then\nlinha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53: Wrong indentation for "Step", expected indentation level of 2, but got 4\nlinha 54: Wrong indentation for "Step", expected indentation level of 2, but got 4\nlinha 56: Multiple empty lines are not allowed\nlinha 57: Multiple empty lines are not allowed\nlinha 58: Element Scenario too long: actual 38, expected 15\nlinha 60: Wrong indentation for "Step", expected indentation level of 2, but got 4\nlinha 60: Step name is too long. Length of 147 is longer than the maximum allowed: 70\nlinha 61: Wrong indentation for "Step", expected indentation level of 2, but got 4\nlinha 62: Wrong indentation for "Step", expected indentation level of 2, but got 4\nlinha 63: Wrong indentation for "Step", expected indentation level of 2, but got 4\nlinha 64: Wrong indentation for "Step", expected indentation level of 2, but got 4\nlinha 65: Wrong indentation for "Step", expected indentation level of 2, but got 4\nlinha 66: Wrong indentation for "Step", expected indentation level of 2, but got 4\nlinha 67: Wrong indentation for "Step", expected indentation level of 2, but got 4\nlinha 67: Step "When I follow "Spaces"" should not appear after step using keyword then\nlinha 68: Wrong indentation for "Step", expected indentation level of 2, but got 4\nlinha 69: Wrong indentation for "Step", expected indentation level of 2, but got 4\nlinha 70: Wrong indentation for "Step", expected indentation level of 2, but got 4\nlinha 71: Wrong indentation for "Step", expected indentation level of 2, but got 4\nlinha 71: Step "When I fill in "q" with "house"" should not appear after step using keyword then\nlinha 72: Wrong indentation for "Step", expected indentation level of 2, but got 4\nlinha 73: Wrong indentation for "Step", expected indentation level of 2, but got 4\nlinha 74: Wrong indentation for "Step", expected indentation level of 2, but got 4\nlinha 75: Wrong indentation for "Step", expected indentation level of 2, but got 4\nlinha 76: Wrong indentation for "Step", expected indentation level of 2, but got 4\nlinha 76: Step "When I follow "All categories"" should not appear after step using keyword then\nlinha 77: Wrong indentation for "Step", expected indentation level of 2, but got 4\nlinha 78: Wrong indentation for "Step", expected indentation level of 2, but got 4\nlinha 79: Wrong indentation for "Step", expected indentation level of 2, but got 4\nlinha 80: Wrong indentation for "Step", expected indentation level of 2, but got 4\nlinha 80: Step "When I check "open"" should not appear after step using keyword then\nlinha 81: Wrong indentation for "Step", expected indentation level of 2, but got 4\nlinha 82: Wrong indentation for "Step", expected indentation level of 2, but got 4\nlinha 83: Wrong indentation for "Step", expected indentation level of 2, but got 4\nlinha 84: Wrong indentation for "Step", expected indentation level of 2, but got 4\nlinha 85: Wrong indentation for "Step", expected indentation level of 2, but got 4\nlinha 85: Step "When I fill in "q" with """ should not appear after step using keyword then\nlinha 86: Wrong indentation for "Step", expected indentation level of 2, but got 4\nlinha 87: Wrong indentation for "Step", expected indentation level of 2, but got 4\nlinha 88: Wrong indentation for "Step", expected indentation level of 2, but got 4\nlinha 89: Wrong indentation for "Step", expected indentation level of 2, but got 4\nlinha 90: Wrong indentation for "Step", expected indentation level of 2, but got 4\nlinha 91: Wrong indentation for "Step", expected indentation level of 2, but got 4\nlinha 91: Step "When I uncheck "open"" should not appear after step using keyword then\nlinha 92: Wrong indentation for "Step", expected indentation level of 2, but got 4\nlinha 93: Wrong indentation for "Step", expected indentation level of 2, but got 4\nlinha 94: Wrong indentation for "Step", expected indentation level of 2, but got 4\nlinha 95: Wrong indentation for "Step", expected indentation level of 2, but got 4\nlinha 96: Wrong indentation for "Step", expected indentation level of 2, but got 4\nlinha 97: Wrong indentation for "Step", expected indentation level of 2, but got 4\nlinha 99: Multiple empty lines are not allowed\nlinha 100: Multiple empty lines are not allowed</t>
  </si>
  <si>
    <t>sharetribe_sharetribe\user_filters_listings_by_custom_fields_story_processado.txt</t>
  </si>
  <si>
    <t>sharetribe_sharetribe\user_filters_listings_by_custom_fields_story_processado_relatorio.txt</t>
  </si>
  <si>
    <t>uyuni-project_uyuni\min_bootstrap_negative_story_processado</t>
  </si>
  <si>
    <t>uyuni-project_uyuni</t>
  </si>
  <si>
    <t>linha 4: Wrong indentation for "Step", expected indentation level of 2, but got 4\nlinha 6: Multiple empty lines are not allowed\nlinha 7: Multiple empty lines are not allowed\nlinha 9: Wrong indentation for "Step", expected indentation level of 2, but got 4\nlinha 10: Wrong indentation for "Step", expected indentation level of 2, but got 4\nlinha 11: Wrong indentation for "Step", expected indentation level of 2, but got 4\nlinha 11: Step "When I enter the hostname of "sle_minion" as "hostname"" should not appear after step using keyword then\nlinha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16: Wrong indentation for "Step", expected indentation level of 2, but got 4\nlinha 17: Wrong indentation for "Step", expected indentation level of 2, but got 4\nlinha 18: Wrong indentation for "Step", expected indentation level of 2, but got 4\nlinha 20: Multiple empty lines are not allowed\nlinha 21: Multiple empty lines are not allowed\nlinha 23: Wrong indentation for "Step", expected indentation level of 2, but got 4\nlinha 24: Wrong indentation for "Step", expected indentation level of 2, but got 4\nlinha 25: Wrong indentation for "Step", expected indentation level of 2, but got 4\nlinha 25: Step "When I enter "not-existing-name" as "hostname"" should not appear after step using keyword then\nlinha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30: Step name is too long. Length of 106 is longer than the maximum allowed: 70\nlinha 31: Wrong indentation for "Step", expected indentation level of 2, but got 4\nlinha 32: Wrong indentation for "Step", expected indentation level of 2, but got 4\nlinha 32: Step "When I click on "Details"" should not appear after step using keyword then\nlinha 33: Wrong indentation for "Step", expected indentation level of 2, but got 4\nlinha 33: Step name is too long. Length of 75 is longer than the maximum allowed: 70\nlinha 34: Wrong indentation for "Step", expected indentation level of 2, but got 4\nlinha 35: Wrong indentation for "Step", expected indentation level of 2, but got 4\nlinha 35: Step name is too long. Length of 109 is longer than the maximum allowed: 70\nlinha 36: Wrong indentation for "Step", expected indentation level of 2, but got 4\nlinha 36: Step "When I close the modal dialog" should not appear after step using keyword then\nlinha 38: Multiple empty lines are not allowed\nlinha 39: Multiple empty lines are not allowed\nlinha 41: Wrong indentation for "Step", expected indentation level of 2, but got 4\nlinha 42: Wrong indentation for "Step", expected indentation level of 2, but got 4\nlinha 43: Wrong indentation for "Step", expected indentation level of 2, but got 4\nlinha 43: Step "When I enter the hostname of "localhost" as "hostname"" should not appear after step using keyword then\nlinha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48: Wrong indentation for "Step", expected indentation level of 2, but got 4\nlinha 48: Step name is too long. Length of 106 is longer than the maximum allowed: 70\nlinha 49: Wrong indentation for "Step", expected indentation level of 2, but got 4\nlinha 50: Wrong indentation for "Step", expected indentation level of 2, but got 4\nlinha 50: Step "When I click on "Details"" should not appear after step using keyword then\nlinha 51: Wrong indentation for "Step", expected indentation level of 2, but got 4\nlinha 51: Step name is too long. Length of 75 is longer than the maximum allowed: 70\nlinha 52: Wrong indentation for "Step", expected indentation level of 2, but got 4\nlinha 53: Wrong indentation for "Step", expected indentation level of 2, but got 4\nlinha 53: Step name is too long. Length of 102 is longer than the maximum allowed: 70\nlinha 54: Wrong indentation for "Step", expected indentation level of 2, but got 4\nlinha 54: Step "When I close the modal dialog" should not appear after step using keyword then\nlinha 56: Multiple empty lines are not allowed\nlinha 57: Multiple empty lines are not allowed\nlinha 59: Wrong indentation for "Step", expected indentation level of 2, but got 4\nlinha 60: Wrong indentation for "Step", expected indentation level of 2, but got 4\nlinha 61: Wrong indentation for "Step", expected indentation level of 2, but got 4\nlinha 61: Step "When I enter the hostname of "localhost" as "hostname"" should not appear after step using keyword then\nlinha 62: Wrong indentation for "Step", expected indentation level of 2, but got 4\nlinha 63: Wrong indentation for "Step", expected indentation level of 2, but got 4\nlinha 64: Wrong indentation for "Step", expected indentation level of 2, but got 4\nlinha 65: Wrong indentation for "Step", expected indentation level of 2, but got 4\nlinha 66: Wrong indentation for "Step", expected indentation level of 2, but got 4\nlinha 66: Step name is too long. Length of 106 is longer than the maximum allowed: 70\nlinha 67: Wrong indentation for "Step", expected indentation level of 2, but got 4\nlinha 68: Wrong indentation for "Step", expected indentation level of 2, but got 4\nlinha 68: Step "When I click on "Details"" should not appear after step using keyword then\nlinha 69: Wrong indentation for "Step", expected indentation level of 2, but got 4\nlinha 69: Step name is too long. Length of 75 is longer than the maximum allowed: 70\nlinha 70: Wrong indentation for "Step", expected indentation level of 2, but got 4\nlinha 71: Wrong indentation for "Step", expected indentation level of 2, but got 4\nlinha 71: Step name is too long. Length of 102 is longer than the maximum allowed: 70\nlinha 72: Wrong indentation for "Step", expected indentation level of 2, but got 4\nlinha 72: Step "When I close the modal dialog" should not appear after step using keyword then\nlinha 74: Multiple empty lines are not allowed\nlinha 75: Multiple empty lines are not allowed</t>
  </si>
  <si>
    <t>uyuni-project_uyuni\min_bootstrap_negative_story_processado.txt</t>
  </si>
  <si>
    <t>uyuni-project_uyuni\min_bootstrap_negative_story_processado_relatorio.txt</t>
  </si>
  <si>
    <t>uyuni-project_uyuni\min_config_state_channel_story_processado</t>
  </si>
  <si>
    <t>linha 4: Wrong indentation for "Step", expected indentation level of 2, but got 4\nlinha 6: Multiple empty lines are not allowed\nlinha 7: Multiple empty lines are not allowed\nlinha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12: Step "When I enter "My State Channel" as "cofName"" should not appear after step using keyword then\nlinha 13: Wrong indentation for "Step", expected indentation level of 2, but got 4\nlinha 14: Wrong indentation for "Step", expected indentation level of 2, but got 4\nlinha 15: Wrong indentation for "Step", expected indentation level of 2, but got 4\nlinha 15: Step name is too long. Length of 84 is longer than the maximum allowed: 70\nlinha 16: Wrong indentation for "Step", expected indentation level of 2, but got 4\nlinha 17: Wrong indentation for "Step", expected indentation level of 2, but got 4\nlinha 18: Wrong indentation for "Step", expected indentation level of 2, but got 4\nlinha 19: Wrong indentation for "Step", expected indentation level of 2, but got 4\nlinha 20: Wrong indentation for "Step", expected indentation level of 2, but got 4\nlinha 22: Multiple empty lines are not allowed\nlinha 23: Multiple empty lines are not allowed\nlinha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29: Wrong indentation for "Step", expected indentation level of 2, but got 4\nlinha 30: Wrong indentation for "Step", expected indentation level of 2, but got 4\nlinha 31: Wrong indentation for "Step", expected indentation level of 2, but got 4\nlinha 32: Wrong indentation for "Step", expected indentation level of 2, but got 4\nlinha 34: Multiple empty lines are not allowed\nlinha 35: Multiple empty lines are not allowed\nlinha 37: Wrong indentation for "Step", expected indentation level of 2, but got 4\nlinha 38: Wrong indentation for "Step", expected indentation level of 2, but got 4\nlinha 39: Wrong indentation for "Step", expected indentation level of 2, but got 4\nlinha 40: Wrong indentation for "Step", expected indentation level of 2, but got 4\nlinha 40: Step "When I follow "View/Edit 'init.sls' File"" should not appear after step using keyword then\nlinha 41: Wrong indentation for "Step", expected indentation level of 2, but got 4\nlinha 41: Step name is too long. Length of 75 is longer than the maximum allowed: 70\nlinha 42: Wrong indentation for "Step", expected indentation level of 2, but got 4\nlinha 43: Wrong indentation for "Step", expected indentation level of 2, but got 4\nlinha 45: Multiple empty lines are not allowed\nlinha 46: Multiple empty lines are not allowed\nlinha 48: Wrong indentation for "Step", expected indentation level of 2, but got 4\nlinha 49: Wrong indentation for "Step", expected indentation level of 2, but got 4\nlinha 50: Wrong indentation for "Step", expected indentation level of 2, but got 4\nlinha 51: Wrong indentation for "Step", expected indentation level of 2, but got 4\nlinha 52: Wrong indentation for "Step", expected indentation level of 2, but got 4\nlinha 52: Step "When I click on "Execute States"" should not appear after step using keyword then\nlinha 53: Wrong indentation for "Step", expected indentation level of 2, but got 4\nlinha 54: Wrong indentation for "Step", expected indentation level of 2, but got 4\nlinha 54: Step "When I wait until event "Apply states [custom] scheduled" is completed" should not appear after step using keyword then\nlinha 55: Wrong indentation for "Step", expected indentation level of 2, but got 4\nlinha 57: Multiple empty lines are not allowed\nlinha 58: Multiple empty lines are not allowed\nlinha 60: Wrong indentation for "Step", expected indentation level of 2, but got 4\nlinha 61: Wrong indentation for "Step", expected indentation level of 2, but got 4\nlinha 62: Wrong indentation for "Step", expected indentation level of 2, but got 4\nlinha 63: Wrong indentation for "Step", expected indentation level of 2, but got 4\nlinha 63: Step "When I follow "Delete"" should use And instead of When\nlinha 64: Wrong indentation for "Step", expected indentation level of 2, but got 4\nlinha 65: Wrong indentation for "Step", expected indentation level of 2, but got 4\nlinha 65: Step name is too long. Length of 75 is longer than the maximum allowed: 70\nlinha 66: Wrong indentation for "Step", expected indentation level of 2, but got 4\nlinha 66: Step name is too long. Length of 75 is longer than the maximum allowed: 70\nlinha 68: Multiple empty lines are not allowed\nlinha 69: Multiple empty lines are not allowed\nlinha 71: Wrong indentation for "Step", expected indentation level of 2, but got 4\nlinha 72: Wrong indentation for "Step", expected indentation level of 2, but got 4\nlinha 73: Wrong indentation for "Step", expected indentation level of 2, but got 4\nlinha 74: Wrong indentation for "Step", expected indentation level of 2, but got 4\nlinha 74: Step name is too long. Length of 74 is longer than the maximum allowed: 70\nlinha 75: Wrong indentation for "Step", expected indentation level of 2, but got 4\nlinha 75: Step "When I click on "Delete Config Channel"" should not appear after step using keyword then\nlinha 76: Wrong indentation for "Step", expected indentation level of 2, but got 4\nlinha 77: Wrong indentation for "Step", expected indentation level of 2, but got 4\nlinha 79: Multiple empty lines are not allowed\nlinha 80: Multiple empty lines are not allowed\nlinha 82: Wrong indentation for "Step", expected indentation level of 2, but got 4\nlinha 83: Wrong indentation for "Step", expected indentation level of 2, but got 4\nlinha 84: Wrong indentation for "Step", expected indentation level of 2, but got 4\nlinha 85: Wrong indentation for "Step", expected indentation level of 2, but got 4\nlinha 85: Step "When I enter "My State Channel" as "cofName"" should not appear after step using keyword then\nlinha 86: Wrong indentation for "Step", expected indentation level of 2, but got 4\nlinha 87: Wrong indentation for "Step", expected indentation level of 2, but got 4\nlinha 88: Wrong indentation for "Step", expected indentation level of 2, but got 4\nlinha 88: Step name is too long. Length of 96 is longer than the maximum allowed: 70\nlinha 89: Wrong indentation for "Step", expected indentation level of 2, but got 4\nlinha 90: Wrong indentation for "Step", expected indentation level of 2, but got 4\nlinha 91: Wrong indentation for "Step", expected indentation level of 2, but got 4\nlinha 92: Wrong indentation for "Step", expected indentation level of 2, but got 4\nlinha 93: Wrong indentation for "Step", expected indentation level of 2, but got 4\nlinha 95: Multiple empty lines are not allowed\nlinha 96: Multiple empty lines are not allowed\nlinha 98: Wrong indentation for "Step", expected indentation level of 2, but got 4\nlinha 99: Wrong indentation for "Step", expected indentation level of 2, but got 4\nlinha 100: Wrong indentation for "Step", expected indentation level of 2, but got 4\nlinha 101: Wrong indentation for "Step", expected indentation level of 2, but got 4\nlinha 101: Step "When I enter "My State Channel" as "cofName"" should not appear after step using keyword then\nlinha 102: Wrong indentation for "Step", expected indentation level of 2, but got 4\nlinha 103: Wrong indentation for "Step", expected indentation level of 2, but got 4\nlinha 104: Wrong indentation for "Step", expected indentation level of 2, but got 4\nlinha 104: Step name is too long. Length of 98 is longer than the maximum allowed: 70\nlinha 105: Wrong indentation for "Step", expected indentation level of 2, but got 4\nlinha 106: Wrong indentation for "Step", expected indentation level of 2, but got 4\nlinha 107: Wrong indentation for "Step", expected indentation level of 2, but got 4\nlinha 108: Wrong indentation for "Step", expected indentation level of 2, but got 4\nlinha 109: Wrong indentation for "Step", expected indentation level of 2, but got 4\nlinha 111: Multiple empty lines are not allowed\nlinha 112: Multiple empty lines are not allowed\nlinha 114: Wrong indentation for "Step", expected indentation level of 2, but got 4\nlinha 115: Wrong indentation for "Step", expected indentation level of 2, but got 4\nlinha 116: Wrong indentation for "Step", expected indentation level of 2, but got 4\nlinha 117: Wrong indentation for "Step", expected indentation level of 2, but got 4\nlinha 117: Step "When I update init.sls from spacecmd with content "touch /tmp/statechannel3:\n  cmd.run:\n    - creates: /tmp/statechannel3" for channel "statechannel3"" should not appear after step using keyword then\nlinha 117: Step name is too long. Length of 147 is longer than the maximum allowed: 70\nlinha 118: Wrong indentation for "Step", expected indentation level of 2, but got 4\nlinha 118: Step name is too long. Length of 71 is longer than the maximum allowed: 70\nlinha 119: Wrong indentation for "Step", expected indentation level of 2, but got 4\nlinha 120: Wrong indentation for "Step", expected indentation level of 2, but got 4\nlinha 120: Step "When I update init.sls from spacecmd with content "touch /root/statechannel3:\n  cmd.run:\n    - creates: /root/statechannel3" for channel "statechannel3" and revision "100"" should not appear after step using keyword then\nlinha 120: Step name is too long. Length of 168 is longer than the maximum allowed: 70\nlinha 121: Wrong indentation for "Step", expected indentation level of 2, but got 4\nlinha 121: Step name is too long. Length of 71 is longer than the maximum allowed: 70\nlinha 122: Wrong indentation for "Step", expected indentation level of 2, but got 4\nlinha 124: Multiple empty lines are not allowed\nlinha 125: Multiple empty lines are not allowed\nlinha 127: Wrong indentation for "Step", expected indentation level of 2, but got 4\nlinha 128: Wrong indentation for "Step", expected indentation level of 2, but got 4\nlinha 129: Wrong indentation for "Step", expected indentation level of 2, but got 4\nlinha 130: Wrong indentation for "Step", expected indentation level of 2, but got 4\nlinha 131: Wrong indentation for "Step", expected indentation level of 2, but got 4\nlinha 132: Wrong indentation for "Step", expected indentation level of 2, but got 4\nlinha 133: Wrong indentation for "Step", expected indentation level of 2, but got 4\nlinha 134: Wrong indentation for "Step", expected indentation level of 2, but got 4\nlinha 134: Step "When I check "statechannel-cbox"" should not appear after step using keyword then\nlinha 135: Wrong indentation for "Step", expected indentation level of 2, but got 4\nlinha 136: Wrong indentation for "Step", expected indentation level of 2, but got 4\nlinha 137: Wrong indentation for "Step", expected indentation level of 2, but got 4\nlinha 138: Wrong indentation for "Step", expected indentation level of 2, but got 4\nlinha 139: Wrong indentation for "Step", expected indentation level of 2, but got 4\nlinha 140: Wrong indentation for "Step", expected indentation level of 2, but got 4\nlinha 140: Step "When I click on "Confirm"" should not appear after step using keyword then\nlinha 141: Wrong indentation for "Step", expected indentation level of 2, but got 4\nlinha 143: Multiple empty lines are not allowed\nlinha 144: Multiple empty lines are not allowed\nlinha 146: Wrong indentation for "Step", expected indentation level of 2, but got 4\nlinha 147: Wrong indentation for "Step", expected indentation level of 2, but got 4\nlinha 148: Wrong indentation for "Step", expected indentation level of 2, but got 4\nlinha 149: Wrong indentation for "Step", expected indentation level of 2, but got 4\nlinha 150: Wrong indentation for "Step", expected indentation level of 2, but got 4\nlinha 151: Wrong indentation for "Step", expected indentation level of 2, but got 4\nlinha 152: Wrong indentation for "Step", expected indentation level of 2, but got 4\nlinha 153: Wrong indentation for "Step", expected indentation level of 2, but got 4\nlinha 154: Wrong indentation for "Step", expected indentation level of 2, but got 4\nlinha 156: Multiple empty lines are not allowed\nlinha 157: Multiple empty lines are not allowed\nlinha 159: Wrong indentation for "Step", expected indentation level of 2, but got 4\nlinha 160: Wrong indentation for "Step", expected indentation level of 2, but got 4\nlinha 161: Wrong indentation for "Step", expected indentation level of 2, but got 4\nlinha 162: Wrong indentation for "Step", expected indentation level of 2, but got 4\nlinha 163: Wrong indentation for "Step", expected indentation level of 2, but got 4\nlinha 163: Step "When I check "statechannel3-cbox"" should not appear after step using keyword then\nlinha 164: Wrong indentation for "Step", expected indentation level of 2, but got 4\nlinha 165: Wrong indentation for "Step", expected indentation level of 2, but got 4\nlinha 166: Wrong indentation for "Step", expected indentation level of 2, but got 4\nlinha 167: Wrong indentation for "Step", expected indentation level of 2, but got 4\nlinha 168: Wrong indentation for "Step", expected indentation level of 2, but got 4\nlinha 169: Wrong indentation for "Step", expected indentation level of 2, but got 4\nlinha 169: Step "When I click on "Confirm"" should not appear after step using keyword then\nlinha 169: Step "When I click on "Confirm"" should use And instead of When\nlinha 170: Wrong indentation for "Step", expected indentation level of 2, but got 4\nlinha 172: Multiple empty lines are not allowed\nlinha 173: Multiple empty lines are not allowed\nlinha 175: Wrong indentation for "Step", expected indentation level of 2, but got 4\nlinha 176: Wrong indentation for "Step", expected indentation level of 2, but got 4\nlinha 178: Multiple empty lines are not allowed\nlinha 179: Multiple empty lines are not allowed\nlinha 181: Wrong indentation for "Step", expected indentation level of 2, but got 4\nlinha 182: Wrong indentation for "Step", expected indentation level of 2, but got 4\nlinha 183: Wrong indentation for "Step", expected indentation level of 2, but got 4\nlinha 184: Wrong indentation for "Step", expected indentation level of 2, but got 4\nlinha 184: Step name is too long. Length of 74 is longer than the maximum allowed: 70\nlinha 185: Wrong indentation for "Step", expected indentation level of 2, but got 4\nlinha 185: Step "When I click on "Delete Config Channel"" should not appear after step using keyword then\nlinha 186: Wrong indentation for "Step", expected indentation level of 2, but got 4\nlinha 187: Wrong indentation for "Step", expected indentation level of 2, but got 4\nlinha 187: Step "When I remove "/root/statechannel" from "sle_minion"" should not appear after step using keyword then\nlinha 189: Multiple empty lines are not allowed\nlinha 190: Multiple empty lines are not allowed\nlinha 192: Wrong indentation for "Step", expected indentation level of 2, but got 4\nlinha 193: Wrong indentation for "Step", expected indentation level of 2, but got 4\nlinha 194: Wrong indentation for "Step", expected indentation level of 2, but got 4\nlinha 195: Wrong indentation for "Step", expected indentation level of 2, but got 4\nlinha 195: Step name is too long. Length of 74 is longer than the maximum allowed: 70\nlinha 196: Wrong indentation for "Step", expected indentation level of 2, but got 4\nlinha 196: Step "When I click on "Delete Config Channel"" should not appear after step using keyword then\nlinha 197: Wrong indentation for "Step", expected indentation level of 2, but got 4\nlinha 198: Wrong indentation for "Step", expected indentation level of 2, but got 4\nlinha 198: Step "When I remove "/root/statechannel2" from "sle_minion"" should not appear after step using keyword then\nlinha 200: Multiple empty lines are not allowed\nlinha 201: Multiple empty lines are not allowed\nlinha 203: Wrong indentation for "Step", expected indentation level of 2, but got 4\nlinha 204: Wrong indentation for "Step", expected indentation level of 2, but got 4\nlinha 205: Wrong indentation for "Step", expected indentation level of 2, but got 4\nlinha 206: Wrong indentation for "Step", expected indentation level of 2, but got 4\nlinha 206: Step name is too long. Length of 74 is longer than the maximum allowed: 70\nlinha 207: Wrong indentation for "Step", expected indentation level of 2, but got 4\nlinha 207: Step "When I click on "Delete Config Channel"" should not appear after step using keyword then\nlinha 208: Wrong indentation for "Step", expected indentation level of 2, but got 4\nlinha 209: Wrong indentation for "Step", expected indentation level of 2, but got 4\nlinha 209: Step "When I remove "/root/statechannel3" from "sle_minion"" should not appear after step using keyword then\nlinha 211: Multiple empty lines are not allowed\nlinha 212: Multiple empty lines are not allowed</t>
  </si>
  <si>
    <t>uyuni-project_uyuni\min_config_state_channel_story_processado.txt</t>
  </si>
  <si>
    <t>uyuni-project_uyuni\min_config_state_channel_story_processado_relatorio.txt</t>
  </si>
  <si>
    <t>uyuni-project_uyuni\proxy_story_processado</t>
  </si>
  <si>
    <t>linha 4: Wrong indentation for "Step", expected indentation level of 2, but got 4\nlinha 6: Multiple empty lines are not allowed\nlinha 7: Multiple empty lines are not allowed\nlinha 10: Wrong indentation for "Step", expected indentation level of 2, but got 4\nlinha 12: Multiple empty lines are not allowed\nlinha 13: Multiple empty lines are not allowed\nlinha 15: Wrong indentation for "Step", expected indentation level of 2, but got 4\nlinha 17: Multiple empty lines are not allowed\nlinha 18: Multiple empty lines are not allowed\nlinha 20: Wrong indentation for "Step", expected indentation level of 2, but got 4\nlinha 21: Wrong indentation for "Step", expected indentation level of 2, but got 4\nlinha 22: Wrong indentation for "Step", expected indentation level of 2, but got 4\nlinha 22: Step "When I enter the hostname of "proxy" as "hostname"" should not appear after step using keyword then\nlinha 23: Wrong indentation for "Step", expected indentation level of 2, but got 4\nlinha 24: Wrong indentation for "Step", expected indentation level of 2, but got 4\nlinha 25: Wrong indentation for "Step", expected indentation level of 2, but got 4\nlinha 26: Wrong indentation for "Step", expected indentation level of 2, but got 4\nlinha 27: Wrong indentation for "Step", expected indentation level of 2, but got 4\nlinha 28: Wrong indentation for "Step", expected indentation level of 2, but got 4\nlinha 30: Multiple empty lines are not allowed\nlinha 31: Multiple empty lines are not allowed\nlinha 34: Wrong indentation for "Step", expected indentation level of 2, but got 4\nlinha 36: Multiple empty lines are not allowed\nlinha 37: Multiple empty lines are not allowed\nlinha 39: Wrong indentation for "Step", expected indentation level of 2, but got 4\nlinha 41: Multiple empty lines are not allowed\nlinha 42: Multiple empty lines are not allowed\nlinha 44: Wrong indentation for "Step", expected indentation level of 2, but got 4\nlinha 46: Multiple empty lines are not allowed\nlinha 47: Multiple empty lines are not allowed\nlinha 50: Wrong indentation for "Step", expected indentation level of 2, but got 4\nlinha 52: Multiple empty lines are not allowed\nlinha 53: Multiple empty lines are not allowed\nlinha 55: Wrong indentation for "Step", expected indentation level of 2, but got 4\nlinha 55: Step name is too long. Length of 102 is longer than the maximum allowed: 70\nlinha 56: Wrong indentation for "Step", expected indentation level of 2, but got 4\nlinha 56: Step name is too long. Length of 113 is longer than the maximum allowed: 70\nlinha 58: Multiple empty lines are not allowed\nlinha 59: Multiple empty lines are not allowed\nlinha 61: Wrong indentation for "Step", expected indentation level of 2, but got 4\nlinha 63: Multiple empty lines are not allowed\nlinha 64: Multiple empty lines are not allowed\nlinha 66: Wrong indentation for "Step", expected indentation level of 2, but got 4\nlinha 66: Step name is too long. Length of 75 is longer than the maximum allowed: 70\nlinha 68: Multiple empty lines are not allowed\nlinha 69: Multiple empty lines are not allowed\nlinha 71: Wrong indentation for "Step", expected indentation level of 2, but got 4\nlinha 72: Wrong indentation for "Step", expected indentation level of 2, but got 4\nlinha 73: Wrong indentation for "Step", expected indentation level of 2, but got 4\nlinha 74: Wrong indentation for "Step", expected indentation level of 2, but got 4\nlinha 75: Wrong indentation for "Step", expected indentation level of 2, but got 4\nlinha 76: Wrong indentation for "Step", expected indentation level of 2, but got 4\nlinha 77: Wrong indentation for "Step", expected indentation level of 2, but got 4\nlinha 78: Wrong indentation for "Step", expected indentation level of 2, but got 4\nlinha 79: Wrong indentation for "Step", expected indentation level of 2, but got 4\nlinha 80: Wrong indentation for "Step", expected indentation level of 2, but got 4\nlinha 82: Multiple empty lines are not allowed\nlinha 83: Multiple empty lines are not allowed\nlinha 85: Wrong indentation for "Step", expected indentation level of 2, but got 4\nlinha 86: Wrong indentation for "Step", expected indentation level of 2, but got 4\nlinha 88: Multiple empty lines are not allowed\nlinha 89: Multiple empty lines are not allowed</t>
  </si>
  <si>
    <t>uyuni-project_uyuni\proxy_story_processado.txt</t>
  </si>
  <si>
    <t>uyuni-project_uyuni\proxy_story_processado_relatorio.txt</t>
  </si>
  <si>
    <t>uyuni-project_uyuni\srv_create_fake_repositories_story_processado</t>
  </si>
  <si>
    <t>linha 4: Wrong indentation for "Step", expected indentation level of 2, but got 4\nlinha 6: Multiple empty lines are not allowed\nlinha 7: Multiple empty lines are not allowed\nlinha 9: Wrong indentation for "Step", expected indentation level of 2, but got 4\nlinha 10: Wrong indentation for "Step", expected indentation level of 2, but got 4\nlinha 11: Wrong indentation for "Step", expected indentation level of 2, but got 4\nlinha 12: Wrong indentation for "Step", expected indentation level of 2, but got 4\nlinha 13: Wrong indentation for "Step", expected indentation level of 2, but got 4\nlinha 14: Wrong indentation for "Step", expected indentation level of 2, but got 4\nlinha 15: Wrong indentation for "Step", expected indentation level of 2, but got 4\nlinha 17: Multiple empty lines are not allowed\nlinha 18: Multiple empty lines are not allowed\nlinha 20: Wrong indentation for "Step", expected indentation level of 2, but got 4\nlinha 21: Wrong indentation for "Step", expected indentation level of 2, but got 4\nlinha 22: Wrong indentation for "Step", expected indentation level of 2, but got 4\nlinha 23: Wrong indentation for "Step", expected indentation level of 2, but got 4\nlinha 24: Wrong indentation for "Step", expected indentation level of 2, but got 4\nlinha 25: Wrong indentation for "Step", expected indentation level of 2, but got 4\nlinha 27: Multiple empty lines are not allowed\nlinha 28: Multiple empty lines are not allowed\nlinha 31: Wrong indentation for "Step", expected indentation level of 2, but got 4\nlinha 32: Wrong indentation for "Step", expected indentation level of 2, but got 4\nlinha 33: Wrong indentation for "Step", expected indentation level of 2, but got 4\nlinha 34: Wrong indentation for "Step", expected indentation level of 2, but got 4\nlinha 35: Wrong indentation for "Step", expected indentation level of 2, but got 4\nlinha 36: Wrong indentation for "Step", expected indentation level of 2, but got 4\nlinha 37: Wrong indentation for "Step", expected indentation level of 2, but got 4\nlinha 39: Multiple empty lines are not allowed\nlinha 40: Multiple empty lines are not allowed\nlinha 43: Wrong indentation for "Step", expected indentation level of 2, but got 4\nlinha 44: Wrong indentation for "Step", expected indentation level of 2, but got 4\nlinha 45: Wrong indentation for "Step", expected indentation level of 2, but got 4\nlinha 46: Wrong indentation for "Step", expected indentation level of 2, but got 4\nlinha 47: Wrong indentation for "Step", expected indentation level of 2, but got 4\nlinha 48: Wrong indentation for "Step", expected indentation level of 2, but got 4\nlinha 50: Multiple empty lines are not allowed\nlinha 51: Multiple empty lines are not allowed\nlinha 54: Wrong indentation for "Step", expected indentation level of 2, but got 4\nlinha 55: Wrong indentation for "Step", expected indentation level of 2, but got 4\nlinha 56: Wrong indentation for "Step", expected indentation level of 2, but got 4\nlinha 56: Step name is too long. Length of 86 is longer than the maximum allowed: 70\nlinha 57: Wrong indentation for "Step", expected indentation level of 2, but got 4\nlinha 58: Wrong indentation for "Step", expected indentation level of 2, but got 4\nlinha 59: Wrong indentation for "Step", expected indentation level of 2, but got 4\nlinha 59: Step "When I follow "Repositories" in the content area" should not appear after step using keyword then\nlinha 60: Wrong indentation for "Step", expected indentation level of 2, but got 4\nlinha 61: Wrong indentation for "Step", expected indentation level of 2, but got 4\nlinha 62: Wrong indentation for "Step", expected indentation level of 2, but got 4\nlinha 62: Step name is too long. Length of 91 is longer than the maximum allowed: 70\nlinha 64: Multiple empty lines are not allowed\nlinha 65: Multiple empty lines are not allowed\nlinha 67: Wrong indentation for "Step", expected indentation level of 2, but got 4\nlinha 68: Wrong indentation for "Step", expected indentation level of 2, but got 4\nlinha 69: Wrong indentation for "Step", expected indentation level of 2, but got 4\nlinha 69: Step name is too long. Length of 86 is longer than the maximum allowed: 70\nlinha 70: Wrong indentation for "Step", expected indentation level of 2, but got 4\nlinha 71: Wrong indentation for "Step", expected indentation level of 2, but got 4\nlinha 72: Wrong indentation for "Step", expected indentation level of 2, but got 4\nlinha 72: Step "When I follow "Repositories" in the content area" should not appear after step using keyword then\nlinha 73: Wrong indentation for "Step", expected indentation level of 2, but got 4\nlinha 74: Wrong indentation for "Step", expected indentation level of 2, but got 4\nlinha 75: Wrong indentation for "Step", expected indentation level of 2, but got 4\nlinha 75: Step name is too long. Length of 95 is longer than the maximum allowed: 70\nlinha 77: Multiple empty lines are not allowed\nlinha 78: Multiple empty lines are not allowed\nlinha 81: Wrong indentation for "Step", expected indentation level of 2, but got 4\nlinha 82: Wrong indentation for "Step", expected indentation level of 2, but got 4\nlinha 83: Wrong indentation for "Step", expected indentation level of 2, but got 4\nlinha 83: Step name is too long. Length of 86 is longer than the maximum allowed: 70\nlinha 84: Wrong indentation for "Step", expected indentation level of 2, but got 4\nlinha 85: Wrong indentation for "Step", expected indentation level of 2, but got 4\nlinha 86: Wrong indentation for "Step", expected indentation level of 2, but got 4\nlinha 86: Step "When I follow "Repositories" in the content area" should not appear after step using keyword then\nlinha 87: Wrong indentation for "Step", expected indentation level of 2, but got 4\nlinha 88: Wrong indentation for "Step", expected indentation level of 2, but got 4\nlinha 89: Wrong indentation for "Step", expected indentation level of 2, but got 4\nlinha 89: Step name is too long. Length of 95 is longer than the maximum allowed: 70\nlinha 91: Multiple empty lines are not allowed\nlinha 92: Multiple empty lines are not allowed\nlinha 95: Wrong indentation for "Step", expected indentation level of 2, but got 4\nlinha 96: Wrong indentation for "Step", expected indentation level of 2, but got 4\nlinha 97: Wrong indentation for "Step", expected indentation level of 2, but got 4\nlinha 97: Step name is too long. Length of 86 is longer than the maximum allowed: 70\nlinha 98: Wrong indentation for "Step", expected indentation level of 2, but got 4\nlinha 99: Wrong indentation for "Step", expected indentation level of 2, but got 4\nlinha 100: Wrong indentation for "Step", expected indentation level of 2, but got 4\nlinha 100: Step "When I follow "Repositories" in the content area" should not appear after step using keyword then\nlinha 101: Wrong indentation for "Step", expected indentation level of 2, but got 4\nlinha 102: Wrong indentation for "Step", expected indentation level of 2, but got 4\nlinha 103: Wrong indentation for "Step", expected indentation level of 2, but got 4\nlinha 103: Step name is too long. Length of 97 is longer than the maximum allowed: 70\nlinha 105: Multiple empty lines are not allowed\nlinha 106: Multiple empty lines are not allowed\nlinha 108: Wrong indentation for "Step", expected indentation level of 2, but got 4\nlinha 109: Wrong indentation for "Step", expected indentation level of 2, but got 4\nlinha 110: Wrong indentation for "Step", expected indentation level of 2, but got 4\nlinha 111: Wrong indentation for "Step", expected indentation level of 2, but got 4\nlinha 112: Wrong indentation for "Step", expected indentation level of 2, but got 4\nlinha 113: Wrong indentation for "Step", expected indentation level of 2, but got 4\nlinha 114: Wrong indentation for "Step", expected indentation level of 2, but got 4\nlinha 116: Multiple empty lines are not allowed\nlinha 117: Multiple empty lines are not allowed\nlinha 119: Wrong indentation for "Step", expected indentation level of 2, but got 4\nlinha 120: Wrong indentation for "Step", expected indentation level of 2, but got 4\nlinha 121: Wrong indentation for "Step", expected indentation level of 2, but got 4\nlinha 121: Step name is too long. Length of 86 is longer than the maximum allowed: 70\nlinha 122: Wrong indentation for "Step", expected indentation level of 2, but got 4\nlinha 123: Wrong indentation for "Step", expected indentation level of 2, but got 4\nlinha 124: Wrong indentation for "Step", expected indentation level of 2, but got 4\nlinha 124: Step "When I follow "Repositories" in the content area" should not appear after step using keyword then\nlinha 125: Wrong indentation for "Step", expected indentation level of 2, but got 4\nlinha 126: Wrong indentation for "Step", expected indentation level of 2, but got 4\nlinha 127: Wrong indentation for "Step", expected indentation level of 2, but got 4\nlinha 127: Step name is too long. Length of 93 is longer than the maximum allowed: 70\nlinha 129: Multiple empty lines are not allowed\nlinha 130: Multiple empty lines are not allowed\nlinha 133: Wrong indentation for "Step", expected indentation level of 2, but got 4\nlinha 134: Wrong indentation for "Step", expected indentation level of 2, but got 4\nlinha 135: Wrong indentation for "Step", expected indentation level of 2, but got 4\nlinha 136: Wrong indentation for "Step", expected indentation level of 2, but got 4\nlinha 137: Wrong indentation for "Step", expected indentation level of 2, but got 4\nlinha 138: Wrong indentation for "Step", expected indentation level of 2, but got 4\nlinha 138: Step name is too long. Length of 98 is longer than the maximum allowed: 70\nlinha 140: Multiple empty lines are not allowed\nlinha 141: Multiple empty lines are not allowed\nlinha 144: Wrong indentation for "Step", expected indentation level of 2, but got 4\nlinha 145: Wrong indentation for "Step", expected indentation level of 2, but got 4\nlinha 146: Wrong indentation for "Step", expected indentation level of 2, but got 4\nlinha 147: Wrong indentation for "Step", expected indentation level of 2, but got 4\nlinha 148: Wrong indentation for "Step", expected indentation level of 2, but got 4\nlinha 149: Wrong indentation for "Step", expected indentation level of 2, but got 4\nlinha 150: Wrong indentation for "Step", expected indentation level of 2, but got 4\nlinha 152: Multiple empty lines are not allowed\nlinha 153: Multiple empty lines are not allowed\nlinha 156: Wrong indentation for "Step", expected indentation level of 2, but got 4\nlinha 157: Wrong indentation for "Step", expected indentation level of 2, but got 4\nlinha 158: Wrong indentation for "Step", expected indentation level of 2, but got 4\nlinha 159: Wrong indentation for "Step", expected indentation level of 2, but got 4\nlinha 160: Wrong indentation for "Step", expected indentation level of 2, but got 4\nlinha 161: Wrong indentation for "Step", expected indentation level of 2, but got 4\nlinha 161: Step name is too long. Length of 99 is longer than the maximum allowed: 70\nlinha 163: Multiple empty lines are not allowed\nlinha 164: Multiple empty lines are not allowed\nlinha 167: Wrong indentation for "Step", expected indentation level of 2, but got 4\nlinha 168: Wrong indentation for "Step", expected indentation level of 2, but got 4\nlinha 169: Wrong indentation for "Step", expected indentation level of 2, but got 4\nlinha 169: Step name is too long. Length of 86 is longer than the maximum allowed: 70\nlinha 170: Wrong indentation for "Step", expected indentation level of 2, but got 4\nlinha 171: Wrong indentation for "Step", expected indentation level of 2, but got 4\nlinha 172: Wrong indentation for "Step", expected indentation level of 2, but got 4\nlinha 172: Step "When I follow "Repositories" in the content area" should not appear after step using keyword then\nlinha 173: Wrong indentation for "Step", expected indentation level of 2, but got 4\nlinha 174: Wrong indentation for "Step", expected indentation level of 2, but got 4\nlinha 175: Wrong indentation for "Step", expected indentation level of 2, but got 4\nlinha 175: Step name is too long. Length of 95 is longer than the maximum allowed: 70\nlinha 177: Multiple empty lines are not allowed\nlinha 178: Multiple empty lines are not allowed</t>
  </si>
  <si>
    <t>uyuni-project_uyuni\srv_create_fake_repositories_story_processado.txt</t>
  </si>
  <si>
    <t>uyuni-project_uyuni\srv_create_fake_repositories_story_processado_relatorio.txt</t>
  </si>
  <si>
    <t>vegaprotocol_vega\0026-AUCT-029_story_processado</t>
  </si>
  <si>
    <t>vegaprotocol_vega</t>
  </si>
  <si>
    <t>linha 3: Scenario name is too long. Length of 116 is longer than the maximum allowed: 70\nlinha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82 is longer than the maximum allowed: 70\nlinha 8: Wrong indentation for "Step", expected indentation level of 2, but got 4\nlinha 8: Step "When the network moves ahead "52" blocks" should not appear after step using keyword then\nlinha 9: Wrong indentation for "Step", expected indentation level of 2, but got 4\nlinha 9: Step name is too long. Length of 77 is longer than the maximum allowed: 70\nlinha 11: Multiple empty lines are not allowed\nlinha 12: Multiple empty lines are not allowed\nlinha 14: Wrong indentation for "Step", expected indentation level of 2, but got 4\nlinha 15: Wrong indentation for "Step", expected indentation level of 2, but got 4\nlinha 16: Wrong indentation for "Step", expected indentation level of 2, but got 4\nlinha 16: Step name is too long. Length of 82 is longer than the maximum allowed: 70\nlinha 18: Multiple empty lines are not allowed\nlinha 19: Multiple empty lines are not allowed</t>
  </si>
  <si>
    <t>vegaprotocol_vega\0026-AUCT-029_story_processado.txt</t>
  </si>
  <si>
    <t>vegaprotocol_vega\0026-AUCT-029_story_processado_relatorio.txt</t>
  </si>
  <si>
    <t>vegaprotocol_vega\0032-PRIM-025_story_processado</t>
  </si>
  <si>
    <t>linha 3: Scenario name is too long. Length of 95 is longer than the maximum allowed: 70\nlinha 4: Wrong indentation for "Step", expected indentation level of 2, but got 4\nlinha 5: Wrong indentation for "Step", expected indentation level of 2, but got 4\nlinha 6: Wrong indentation for "Step", expected indentation level of 2, but got 4\nlinha 7: Wrong indentation for "Step", expected indentation level of 2, but got 4\nlinha 7: Step name is too long. Length of 85 is longer than the maximum allowed: 70\nlinha 8: Wrong indentation for "Step", expected indentation level of 2, but got 4\nlinha 9: Wrong indentation for "Step", expected indentation level of 2, but got 4\nlinha 9: Step "When the network moves ahead "1" blocks" should not appear after step using keyword then\nlinha 10: Wrong indentation for "Step", expected indentation level of 2, but got 4\nlinha 10: Step name is too long. Length of 77 is longer than the maximum allowed: 70\nlinha 11: Wrong indentation for "Step", expected indentation level of 2, but got 4\nlinha 12: Wrong indentation for "Step", expected indentation level of 2, but got 4\nlinha 13: Wrong indentation for "Step", expected indentation level of 2, but got 4\nlinha 15: Multiple empty lines are not allowed\nlinha 16: Multiple empty lines are not allowed</t>
  </si>
  <si>
    <t>vegaprotocol_vega\0032-PRIM-025_story_processado.txt</t>
  </si>
  <si>
    <t>vegaprotocol_vega\0032-PRIM-025_story_processado_relatorio.txt</t>
  </si>
  <si>
    <t>vegaprotocol_vega\0068-MATC-073_story_processado</t>
  </si>
  <si>
    <t>linha 3: Scenario name is too long. Length of 85 is longer than the maximum allowed: 70\nlinha 4: Wrong indentation for "Step", expected indentation level of 2, but got 4\nlinha 5: Wrong indentation for "Step", expected indentation level of 2, but got 4\nlinha 7: Multiple empty lines are not allowed\nlinha 8: Multiple empty lines are not allowed</t>
  </si>
  <si>
    <t>vegaprotocol_vega\0068-MATC-073_story_processado.txt</t>
  </si>
  <si>
    <t>vegaprotocol_vega\0068-MATC-073_story_processado_relatorio.txt</t>
  </si>
  <si>
    <t>vegaprotocol_vega\trading_fees_spot_story_processado</t>
  </si>
  <si>
    <t>linha 3: Scenario name is too long. Length of 134 is longer than the maximum allowed: 70\nlinha 5: Multiple empty lines are not allowed\nlinha 6: Multiple empty lines are not allowed\nlinha 7: Multiple empty lines are not allowed</t>
  </si>
  <si>
    <t>vegaprotocol_vega\trading_fees_spot_story_processado.txt</t>
  </si>
  <si>
    <t>vegaprotocol_vega\trading_fees_spot_story_processado_relatorio.txt</t>
  </si>
  <si>
    <t>média de erros(Parser Gherkin)</t>
  </si>
  <si>
    <t>mediana(Parser Gherkin)</t>
  </si>
  <si>
    <t>desvío padrão(Parser Gherkin)</t>
  </si>
  <si>
    <t>média de erros(Gherkin-lint)</t>
  </si>
  <si>
    <t>mediana(Gherkin-lint)</t>
  </si>
  <si>
    <t>desvío padrão(Gherkin-lint)</t>
  </si>
  <si>
    <t>erros_lint (sem identação)</t>
  </si>
  <si>
    <t>quantidade_problemas_lint (sem identação)</t>
  </si>
  <si>
    <t>erros_lint (sem identação e  nomes longos)</t>
  </si>
  <si>
    <t>quantidade_problemas_lint (sem identação e nomes longos)</t>
  </si>
  <si>
    <t>erros_lint (sem identação e linhas vazias)</t>
  </si>
  <si>
    <t>quantidade_problemas_lint (sem identação e linhas vazias)</t>
  </si>
  <si>
    <t>erros_lint (sem identação e linhas vazias e nome longo)</t>
  </si>
  <si>
    <t>quantidade_problemas_lint (sem identação e linhas vazias e nome longo)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</si>
  <si>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11: Multiple empty lines are not allowed
linha 12: Multiple empty lines are not allowed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19: Multiple empty lines are not allowed
linha 20: Multiple empty lines are not allowed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28: Multiple empty lines are not allowed
linha 29: Multiple empty lines are not allowed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36: Multiple empty lines are not allowed
linha 37: Multiple empty lines are not allowed</t>
  </si>
  <si>
    <t>linha 11: Multiple empty lines are not allowed
linha 12: Multiple empty lines are not allowed
linha 19: Multiple empty lines are not allowed
linha 20: Multiple empty lines are not allowed
linha 28: Multiple empty lines are not allowed
linha 29: Multiple empty lines are not allowed
linha 36: Multiple empty lines are not allowed
linha 37: Multiple empty lines are not allowed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</si>
  <si>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12: Step "When I fill in "Card number" with "1234"" should not appear after step using keyword then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20: Multiple empty lines are not allowed
linha 21: Multiple empty lines are not allowed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31: Multiple empty lines are not allowed
linha 32: Multiple empty lines are not allowed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42: Multiple empty lines are not allowed
linha 43: Multiple empty lines are not allowed</t>
  </si>
  <si>
    <t>linha 12: Step "When I fill in "Card number" with "1234"" should not appear after step using keyword then
linha 20: Multiple empty lines are not allowed
linha 21: Multiple empty lines are not allowed
linha 31: Multiple empty lines are not allowed
linha 32: Multiple empty lines are not allowed
linha 42: Multiple empty lines are not allowed
linha 43: Multiple empty lines are not allowed</t>
  </si>
  <si>
    <t>linha 12: Step "When I fill in "Card number" with "1234"" should not appear after step using keyword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</si>
  <si>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9: Multiple empty lines are not allowed
linha 10: Multiple empty lines are not allowed
linha 12: Wrong indentation for "Step", expected indentation level of 2, but got 4
linha 13: Wrong indentation for "Step", expected indentation level of 2, but got 4
linha 14: Wrong indentation for "Step", expected indentation level of 2, but got 4
linha 16: Multiple empty lines are not allowed
linha 17: Multiple empty lines are not allowed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25: Multiple empty lines are not allowed
linha 26: Multiple empty lines are not allowed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33: Step "When the table is filtered with:" should use And instead of When
linha 34: Wrong indentation for "Step", expected indentation level of 2, but got 4
linha 36: Multiple empty lines are not allowed
linha 37: Multiple empty lines are not allowed
linha 40: Wrong indentation for "Step", expected indentation level of 2, but got 4
linha 41: Wrong indentation for "Step", expected indentation level of 2, but got 4
linha 42: Wrong indentation for "Step", expected indentation level of 2, but got 4
linha 43: Wrong indentation for "Step", expected indentation level of 2, but got 4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48: Wrong indentation for "Step", expected indentation level of 2, but got 4
linha 50: Multiple empty lines are not allowed
linha 51: Multiple empty lines are not allowed
linha 53: Wrong indentation for "Step", expected indentation level of 2, but got 4
linha 54: Wrong indentation for "Step", expected indentation level of 2, but got 4
linha 54: Step name is too long. Length of 74 is longer than the maximum allowed: 70
linha 55: Wrong indentation for "Step", expected indentation level of 2, but got 4
linha 56: Wrong indentation for "Step", expected indentation level of 2, but got 4
linha 57: Wrong indentation for "Step", expected indentation level of 2, but got 4
linha 59: Multiple empty lines are not allowed
linha 60: Multiple empty lines are not allowed
linha 62: Wrong indentation for "Step", expected indentation level of 2, but got 4
linha 63: Wrong indentation for "Step", expected indentation level of 2, but got 4
linha 64: Wrong indentation for "Step", expected indentation level of 2, but got 4
linha 65: Wrong indentation for "Step", expected indentation level of 2, but got 4
linha 66: Wrong indentation for "Step", expected indentation level of 2, but got 4
linha 67: Wrong indentation for "Step", expected indentation level of 2, but got 4
linha 68: Wrong indentation for "Step", expected indentation level of 2, but got 4
linha 69: Wrong indentation for "Step", expected indentation level of 2, but got 4
linha 69: Step "When the table is filtered with:" should not appear after step using keyword then
linha 70: Wrong indentation for "Step", expected indentation level of 2, but got 4
linha 72: Multiple empty lines are not allowed
linha 73: Multiple empty lines are not allowed
linha 76: Wrong indentation for "Step", expected indentation level of 2, but got 4
linha 77: Wrong indentation for "Step", expected indentation level of 2, but got 4
linha 77: Step name is too long. Length of 74 is longer than the maximum allowed: 70
linha 78: Wrong indentation for "Step", expected indentation level of 2, but got 4
linha 79: Wrong indentation for "Step", expected indentation level of 2, but got 4
linha 80: Wrong indentation for "Step", expected indentation level of 2, but got 4
linha 82: Multiple empty lines are not allowed
linha 83: Multiple empty lines are not allowed
linha 85: Wrong indentation for "Step", expected indentation level of 2, but got 4
linha 86: Wrong indentation for "Step", expected indentation level of 2, but got 4
linha 86: Step "Given a buyer "First"" should use And instead of Given
linha 87: Wrong indentation for "Step", expected indentation level of 2, but got 4
linha 88: Wrong indentation for "Step", expected indentation level of 2, but got 4
linha 89: Wrong indentation for "Step", expected indentation level of 2, but got 4
linha 90: Wrong indentation for "Step", expected indentation level of 2, but got 4
linha 91: Wrong indentation for "Step", expected indentation level of 2, but got 4
linha 92: Wrong indentation for "Step", expected indentation level of 2, but got 4
linha 92: Step "When the table is filtered with:" should use And instead of When
linha 93: Wrong indentation for "Step", expected indentation level of 2, but got 4
linha 94: Wrong indentation for "Step", expected indentation level of 2, but got 4
linha 96: Multiple empty lines are not allowed
linha 97: Multiple empty lines are not allowed
linha 100: Wrong indentation for "Step", expected indentation level of 2, but got 4
linha 101: Wrong indentation for "Step", expected indentation level of 2, but got 4
linha 102: Wrong indentation for "Step", expected indentation level of 2, but got 4
linha 102: Step name is too long. Length of 74 is longer than the maximum allowed: 70
linha 103: Wrong indentation for "Step", expected indentation level of 2, but got 4
linha 104: Wrong indentation for "Step", expected indentation level of 2, but got 4
linha 105: Wrong indentation for "Step", expected indentation level of 2, but got 4
linha 106: Wrong indentation for "Step", expected indentation level of 2, but got 4
linha 106: Step "Then the table should contain the following:" should use And instead of Then
linha 108: Multiple empty lines are not allowed
linha 109: Multiple empty lines are not allowed
linha 111: Wrong indentation for "Step", expected indentation level of 2, but got 4
linha 112: Wrong indentation for "Step", expected indentation level of 2, but got 4
linha 113: Wrong indentation for "Step", expected indentation level of 2, but got 4
linha 115: Multiple empty lines are not allowed
linha 116: Multiple empty lines are not allowed
linha 117: Multiple empty lines are not allowed</t>
  </si>
  <si>
    <t>linha 9: Multiple empty lines are not allowed
linha 10: Multiple empty lines are not allowed
linha 16: Multiple empty lines are not allowed
linha 17: Multiple empty lines are not allowed
linha 25: Multiple empty lines are not allowed
linha 26: Multiple empty lines are not allowed
linha 33: Step "When the table is filtered with:" should use And instead of When
linha 36: Multiple empty lines are not allowed
linha 37: Multiple empty lines are not allowed
linha 50: Multiple empty lines are not allowed
linha 51: Multiple empty lines are not allowed
linha 54: Step name is too long. Length of 74 is longer than the maximum allowed: 70
linha 59: Multiple empty lines are not allowed
linha 60: Multiple empty lines are not allowed
linha 69: Step "When the table is filtered with:" should not appear after step using keyword then
linha 72: Multiple empty lines are not allowed
linha 73: Multiple empty lines are not allowed
linha 77: Step name is too long. Length of 74 is longer than the maximum allowed: 70
linha 82: Multiple empty lines are not allowed
linha 83: Multiple empty lines are not allowed
linha 86: Step "Given a buyer "First"" should use And instead of Given
linha 92: Step "When the table is filtered with:" should use And instead of When
linha 96: Multiple empty lines are not allowed
linha 97: Multiple empty lines are not allowed
linha 102: Step name is too long. Length of 74 is longer than the maximum allowed: 70
linha 106: Step "Then the table should contain the following:" should use And instead of Then
linha 108: Multiple empty lines are not allowed
linha 109: Multiple empty lines are not allowed
linha 115: Multiple empty lines are not allowed
linha 116: Multiple empty lines are not allowed
linha 117: Multiple empty lines are not allowed</t>
  </si>
  <si>
    <t>linha 33: Step "When the table is filtered with:" should use And instead of When
linha 54: Step name is too long. Length of 74 is longer than the maximum allowed: 70
linha 69: Step "When the table is filtered with:" should not appear after step using keyword then
linha 77: Step name is too long. Length of 74 is longer than the maximum allowed: 70
linha 86: Step "Given a buyer "First"" should use And instead of Given
linha 92: Step "When the table is filtered with:" should use And instead of When
linha 102: Step name is too long. Length of 74 is longer than the maximum allowed: 70
linha 106: Step "Then the table should contain the following:" should use And instead of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</si>
  <si>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"When they check only the following notifications:" should not appear after step using keyword then
linha 7: Wrong indentation for "Step", expected indentation level of 2, but got 4
linha 8: Wrong indentation for "Step", expected indentation level of 2, but got 4
linha 9: Wrong indentation for "Step", expected indentation level of 2, but got 4
linha 11: Multiple empty lines are not allowed
linha 12: Multiple empty lines are not allowed
linha 14: Wrong indentation for "Step", expected indentation level of 2, but got 4
linha 15: Wrong indentation for "Step", expected indentation level of 2, but got 4
linha 16: Wrong indentation for "Step", expected indentation level of 2, but got 4
linha 16: Step "When they disable all notifications" should not appear after step using keyword then
linha 17: Wrong indentation for "Step", expected indentation level of 2, but got 4
linha 18: Wrong indentation for "Step", expected indentation level of 2, but got 4
linha 19: Wrong indentation for "Step", expected indentation level of 2, but got 4
linha 21: Multiple empty lines are not allowed
linha 22: Multiple empty lines are not allowed</t>
  </si>
  <si>
    <t>linha 6: Step "When they check only the following notifications:" should not appear after step using keyword then
linha 11: Multiple empty lines are not allowed
linha 12: Multiple empty lines are not allowed
linha 16: Step "When they disable all notifications" should not appear after step using keyword then
linha 21: Multiple empty lines are not allowed
linha 22: Multiple empty lines are not allowed</t>
  </si>
  <si>
    <t>linha 6: Step "When they check only the following notifications:" should not appear after step using keyword then
linha 16: Step "When they disable all notifications" should not appear after step using keyword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</si>
  <si>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8: Multiple empty lines are not allowed
linha 9: Multiple empty lines are not allowed
linha 10: Multiple empty lines are not allowed</t>
  </si>
  <si>
    <t>linha 8: Multiple empty lines are not allowed
linha 9: Multiple empty lines are not allowed
linha 10: Multiple empty lines are not allowed</t>
  </si>
  <si>
    <t>linha 3: Trailing spaces are not allowed
linha 3: Missing Scenario name
linha 4: Wrong indentation for "Step", expected indentation level of 2, but got 4
linha 6: Multiple empty lines are not allowed
linha 7: Multiple empty lines are not allowed</t>
  </si>
  <si>
    <t>linha 3: Trailing spaces are not allowed
linha 3: Missing Scenario name
linha 6: Multiple empty lines are not allowed
linha 7: Multiple empty lines are not allowed</t>
  </si>
  <si>
    <t>linha 3: Trailing spaces are not allowed
linha 3: Missing Scenario name</t>
  </si>
  <si>
    <t>linha 5: Wrong indentation for "Step", expected indentation level of 2, but got 4
linha 6: Wrong indentation for "Step", expected indentation level of 2, but got 4
linha 7: Wrong indentation for "Step", expected indentation level of 2, but got 4
linha 7: Step "Given I visit the edit page for the organisation named "Friendly"" should use And instead of Given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12: Step name is too long. Length of 85 is longer than the maximum allowed: 70
linha 14: Multiple empty lines are not allowed
linha 15: Multiple empty lines are not allowed</t>
  </si>
  <si>
    <t>linha 7: Step "Given I visit the edit page for the organisation named "Friendly"" should use And instead of Given
linha 12: Step name is too long. Length of 85 is longer than the maximum allowed: 70
linha 14: Multiple empty lines are not allowed
linha 15: Multiple empty lines are not allowed</t>
  </si>
  <si>
    <t>linha 7: Step "Given I visit the edit page for the organisation named "Friendly"" should use And instead of Given
linha 12: Step name is too long. Length of 85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</si>
  <si>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9: Multiple empty lines are not allowed
linha 10: Multiple empty lines are not allowed
linha 13: Wrong indentation for "Step", expected indentation level of 2, but got 4
linha 14: Wrong indentation for "Step", expected indentation level of 2, but got 4
linha 15: Wrong indentation for "Step", expected indentation level of 2, but got 4
linha 17: Multiple empty lines are not allowed
linha 18: Multiple empty lines are not allowed
linha 20: Wrong indentation for "Step", expected indentation level of 2, but got 4
linha 21: Wrong indentation for "Step", expected indentation level of 2, but got 4
linha 22: Wrong indentation for "Step", expected indentation level of 2, but got 4
linha 24: Multiple empty lines are not allowed
linha 25: Multiple empty lines are not allowed
linha 27: Wrong indentation for "Step", expected indentation level of 2, but got 4
linha 28: Wrong indentation for "Step", expected indentation level of 2, but got 4
linha 30: Multiple empty lines are not allowed
linha 31: Multiple empty lines are not allowed
linha 34: Wrong indentation for "Step", expected indentation level of 2, but got 4
linha 35: Wrong indentation for "Step", expected indentation level of 2, but got 4
linha 35: Step name is too long. Length of 84 is longer than the maximum allowed: 70
linha 36: Wrong indentation for "Step", expected indentation level of 2, but got 4
linha 37: Wrong indentation for "Step", expected indentation level of 2, but got 4
linha 37: Step "Then the address for "Friendly" should be "83 pinner road"" should use And instead of Then
linha 38: Wrong indentation for "Step", expected indentation level of 2, but got 4
linha 40: Multiple empty lines are not allowed
linha 41: Multiple empty lines are not allowed
linha 43: Wrong indentation for "Step", expected indentation level of 2, but got 4
linha 44: Wrong indentation for "Step", expected indentation level of 2, but got 4
linha 46: Multiple empty lines are not allowed
linha 47: Multiple empty lines are not allowed
linha 48: Scenario name is too long. Length of 75 is longer than the maximum allowed: 70
linha 49: Wrong indentation for "Step", expected indentation level of 2, but got 4
linha 50: Wrong indentation for "Step", expected indentation level of 2, but got 4
linha 50: Step name is too long. Length of 79 is longer than the maximum allowed: 70
linha 52: Multiple empty lines are not allowed
linha 53: Multiple empty lines are not allowed
linha 55: Wrong indentation for "Step", expected indentation level of 2, but got 4
linha 56: Wrong indentation for "Step", expected indentation level of 2, but got 4
linha 58: Multiple empty lines are not allowed
linha 59: Multiple empty lines are not allowed
linha 60: Scenario name is too long. Length of 78 is longer than the maximum allowed: 70
linha 61: Wrong indentation for "Step", expected indentation level of 2, but got 4
linha 62: Wrong indentation for "Step", expected indentation level of 2, but got 4
linha 64: Multiple empty lines are not allowed
linha 65: Multiple empty lines are not allowed
linha 67: Wrong indentation for "Step", expected indentation level of 2, but got 4
linha 68: Wrong indentation for "Step", expected indentation level of 2, but got 4
linha 70: Multiple empty lines are not allowed
linha 71: Multiple empty lines are not allowed
linha 72: Scenario name is too long. Length of 83 is longer than the maximum allowed: 70
linha 74: Wrong indentation for "Step", expected indentation level of 2, but got 4
linha 75: Wrong indentation for "Step", expected indentation level of 2, but got 4
linha 76: Wrong indentation for "Step", expected indentation level of 2, but got 4
linha 77: Wrong indentation for "Step", expected indentation level of 2, but got 4
linha 78: Wrong indentation for "Step", expected indentation level of 2, but got 4
linha 79: Wrong indentation for "Step", expected indentation level of 2, but got 4
linha 80: Wrong indentation for "Step", expected indentation level of 2, but got 4
linha 81: Wrong indentation for "Step", expected indentation level of 2, but got 4
linha 83: Multiple empty lines are not allowed
linha 84: Multiple empty lines are not allowed
linha 85: Multiple empty lines are not allowed
linha 86: Scenario name is too long. Length of 73 is longer than the maximum allowed: 70
linha 87: Wrong indentation for "Step", expected indentation level of 2, but got 4
linha 88: Wrong indentation for "Step", expected indentation level of 2, but got 4
linha 89: Wrong indentation for "Step", expected indentation level of 2, but got 4
linha 89: Step name is too long. Length of 81 is longer than the maximum allowed: 70
linha 91: Multiple empty lines are not allowed
linha 92: Multiple empty lines are not allowed
linha 93: Multiple empty lines are not allowed
linha 94: Scenario name is too long. Length of 79 is longer than the maximum allowed: 70
linha 95: Wrong indentation for "Step", expected indentation level of 2, but got 4
linha 96: Wrong indentation for "Step", expected indentation level of 2, but got 4
linha 97: Wrong indentation for "Step", expected indentation level of 2, but got 4
linha 99: Multiple empty lines are not allowed
linha 100: Multiple empty lines are not allowed
linha 101: Multiple empty lines are not allowed
linha 102: Scenario name is too long. Length of 80 is longer than the maximum allowed: 70
linha 104: Wrong indentation for "Step", expected indentation level of 2, but got 4
linha 105: Wrong indentation for "Step", expected indentation level of 2, but got 4
linha 106: Wrong indentation for "Step", expected indentation level of 2, but got 4
linha 107: Wrong indentation for "Step", expected indentation level of 2, but got 4
linha 108: Wrong indentation for "Step", expected indentation level of 2, but got 4
linha 109: Wrong indentation for "Step", expected indentation level of 2, but got 4
linha 109: Step "Then I should not see "Health" within "org-categories"" should use And instead of Then
linha 110: Wrong indentation for "Step", expected indentation level of 2, but got 4
linha 112: Multiple empty lines are not allowed
linha 113: Multiple empty lines are not allowed
linha 114: Multiple empty lines are not allowed</t>
  </si>
  <si>
    <t>linha 9: Multiple empty lines are not allowed
linha 10: Multiple empty lines are not allowed
linha 17: Multiple empty lines are not allowed
linha 18: Multiple empty lines are not allowed
linha 24: Multiple empty lines are not allowed
linha 25: Multiple empty lines are not allowed
linha 30: Multiple empty lines are not allowed
linha 31: Multiple empty lines are not allowed
linha 35: Step name is too long. Length of 84 is longer than the maximum allowed: 70
linha 37: Step "Then the address for "Friendly" should be "83 pinner road"" should use And instead of Then
linha 40: Multiple empty lines are not allowed
linha 41: Multiple empty lines are not allowed
linha 46: Multiple empty lines are not allowed
linha 47: Multiple empty lines are not allowed
linha 48: Scenario name is too long. Length of 75 is longer than the maximum allowed: 70
linha 50: Step name is too long. Length of 79 is longer than the maximum allowed: 70
linha 52: Multiple empty lines are not allowed
linha 53: Multiple empty lines are not allowed
linha 58: Multiple empty lines are not allowed
linha 59: Multiple empty lines are not allowed
linha 60: Scenario name is too long. Length of 78 is longer than the maximum allowed: 70
linha 64: Multiple empty lines are not allowed
linha 65: Multiple empty lines are not allowed
linha 70: Multiple empty lines are not allowed
linha 71: Multiple empty lines are not allowed
linha 72: Scenario name is too long. Length of 83 is longer than the maximum allowed: 70
linha 83: Multiple empty lines are not allowed
linha 84: Multiple empty lines are not allowed
linha 85: Multiple empty lines are not allowed
linha 86: Scenario name is too long. Length of 73 is longer than the maximum allowed: 70
linha 89: Step name is too long. Length of 81 is longer than the maximum allowed: 70
linha 91: Multiple empty lines are not allowed
linha 92: Multiple empty lines are not allowed
linha 93: Multiple empty lines are not allowed
linha 94: Scenario name is too long. Length of 79 is longer than the maximum allowed: 70
linha 99: Multiple empty lines are not allowed
linha 100: Multiple empty lines are not allowed
linha 101: Multiple empty lines are not allowed
linha 102: Scenario name is too long. Length of 80 is longer than the maximum allowed: 70
linha 109: Step "Then I should not see "Health" within "org-categories"" should use And instead of Then
linha 112: Multiple empty lines are not allowed
linha 113: Multiple empty lines are not allowed
linha 114: Multiple empty lines are not allowed</t>
  </si>
  <si>
    <t>linha 35: Step name is too long. Length of 84 is longer than the maximum allowed: 70
linha 37: Step "Then the address for "Friendly" should be "83 pinner road"" should use And instead of Then
linha 48: Scenario name is too long. Length of 75 is longer than the maximum allowed: 70
linha 50: Step name is too long. Length of 79 is longer than the maximum allowed: 70
linha 60: Scenario name is too long. Length of 78 is longer than the maximum allowed: 70
linha 72: Scenario name is too long. Length of 83 is longer than the maximum allowed: 70
linha 86: Scenario name is too long. Length of 73 is longer than the maximum allowed: 70
linha 89: Step name is too long. Length of 81 is longer than the maximum allowed: 70
linha 94: Scenario name is too long. Length of 79 is longer than the maximum allowed: 70
linha 102: Scenario name is too long. Length of 80 is longer than the maximum allowed: 70
linha 109: Step "Then I should not see "Health" within "org-categories"" should use And instead of Then</t>
  </si>
  <si>
    <t>linha 3: Trailing spaces are not allowed
linha 3: Missing Scenario name
linha 5: Wrong indentation for "Step", expected indentation level of 2, but got 4
linha 6: Wrong indentation for "Step", expected indentation level of 2, but got 4
linha 8: Multiple empty lines are not allowed
linha 9: Multiple empty lines are not allowed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16: Multiple empty lines are not allowed
linha 17: Multiple empty lines are not allowed</t>
  </si>
  <si>
    <t>linha 3: Trailing spaces are not allowed
linha 3: Missing Scenario name
linha 8: Multiple empty lines are not allowed
linha 9: Multiple empty lines are not allowed
linha 16: Multiple empty lines are not allowed
linha 17: Multiple empty lines are not allowed</t>
  </si>
  <si>
    <t>linha 4: Wrong indentation for "Step", expected indentation level of 2, but got 4
linha 5: Wrong indentation for "Step", expected indentation level of 2, but got 4
linha 5: Step name is too long. Length of 89 is longer than the maximum allowed: 70
linha 6: Wrong indentation for "Step", expected indentation level of 2, but got 4
linha 6: Step name is too long. Length of 76 is longer than the maximum allowed: 70
linha 8: Multiple empty lines are not allowed
linha 9: Multiple empty lines are not allowed
linha 11: Wrong indentation for "Step", expected indentation level of 2, but got 4
linha 12: Wrong indentation for "Step", expected indentation level of 2, but got 4
linha 12: Step name is too long. Length of 93 is longer than the maximum allowed: 70
linha 13: Wrong indentation for "Step", expected indentation level of 2, but got 4
linha 13: Step name is too long. Length of 72 is longer than the maximum allowed: 70
linha 14: Wrong indentation for "Step", expected indentation level of 2, but got 4
linha 14: Step name is too long. Length of 76 is longer than the maximum allowed: 70
linha 16: Multiple empty lines are not allowed
linha 17: Multiple empty lines are not allowed
linha 19: Wrong indentation for "Step", expected indentation level of 2, but got 4
linha 20: Wrong indentation for "Step", expected indentation level of 2, but got 4
linha 20: Step name is too long. Length of 78 is longer than the maximum allowed: 70
linha 21: Wrong indentation for "Step", expected indentation level of 2, but got 4
linha 21: Step name is too long. Length of 94 is longer than the maximum allowed: 70
linha 22: Wrong indentation for "Step", expected indentation level of 2, but got 4
linha 23: Wrong indentation for "Step", expected indentation level of 2, but got 4
linha 23: Step name is too long. Length of 76 is longer than the maximum allowed: 70
linha 25: Multiple empty lines are not allowed
linha 26: Multiple empty lines are not allowed
linha 28: Wrong indentation for "Step", expected indentation level of 2, but got 4
linha 29: Wrong indentation for "Step", expected indentation level of 2, but got 4
linha 29: Step name is too long. Length of 78 is longer than the maximum allowed: 70
linha 30: Wrong indentation for "Step", expected indentation level of 2, but got 4
linha 30: Step name is too long. Length of 94 is longer than the maximum allowed: 70
linha 31: Wrong indentation for "Step", expected indentation level of 2, but got 4
linha 31: Step name is too long. Length of 82 is longer than the maximum allowed: 70
linha 32: Wrong indentation for "Step", expected indentation level of 2, but got 4
linha 32: Step "When I delete the review date" should not appear after step using keyword then
linha 33: Wrong indentation for "Step", expected indentation level of 2, but got 4
linha 35: Multiple empty lines are not allowed
linha 36: Multiple empty lines are not allowed</t>
  </si>
  <si>
    <t>linha 5: Step name is too long. Length of 89 is longer than the maximum allowed: 70
linha 6: Step name is too long. Length of 76 is longer than the maximum allowed: 70
linha 8: Multiple empty lines are not allowed
linha 9: Multiple empty lines are not allowed
linha 12: Step name is too long. Length of 93 is longer than the maximum allowed: 70
linha 13: Step name is too long. Length of 72 is longer than the maximum allowed: 70
linha 14: Step name is too long. Length of 76 is longer than the maximum allowed: 70
linha 16: Multiple empty lines are not allowed
linha 17: Multiple empty lines are not allowed
linha 20: Step name is too long. Length of 78 is longer than the maximum allowed: 70
linha 21: Step name is too long. Length of 94 is longer than the maximum allowed: 70
linha 23: Step name is too long. Length of 76 is longer than the maximum allowed: 70
linha 25: Multiple empty lines are not allowed
linha 26: Multiple empty lines are not allowed
linha 29: Step name is too long. Length of 78 is longer than the maximum allowed: 70
linha 30: Step name is too long. Length of 94 is longer than the maximum allowed: 70
linha 31: Step name is too long. Length of 82 is longer than the maximum allowed: 70
linha 32: Step "When I delete the review date" should not appear after step using keyword then
linha 35: Multiple empty lines are not allowed
linha 36: Multiple empty lines are not allowed</t>
  </si>
  <si>
    <t>linha 5: Step name is too long. Length of 89 is longer than the maximum allowed: 70
linha 6: Step name is too long. Length of 76 is longer than the maximum allowed: 70
linha 12: Step name is too long. Length of 93 is longer than the maximum allowed: 70
linha 13: Step name is too long. Length of 72 is longer than the maximum allowed: 70
linha 14: Step name is too long. Length of 76 is longer than the maximum allowed: 70
linha 20: Step name is too long. Length of 78 is longer than the maximum allowed: 70
linha 21: Step name is too long. Length of 94 is longer than the maximum allowed: 70
linha 23: Step name is too long. Length of 76 is longer than the maximum allowed: 70
linha 29: Step name is too long. Length of 78 is longer than the maximum allowed: 70
linha 30: Step name is too long. Length of 94 is longer than the maximum allowed: 70
linha 31: Step name is too long. Length of 82 is longer than the maximum allowed: 70
linha 32: Step "When I delete the review date" should not appear after step using keyword then</t>
  </si>
  <si>
    <t>linha 4: Wrong indentation for "Step", expected indentation level of 2, but got 4
linha 4: Step name is too long. Length of 113 is longer than the maximum allowed: 70
linha 5: Wrong indentation for "Step", expected indentation level of 2, but got 4
linha 7: Multiple empty lines are not allowed
linha 8: Multiple empty lines are not allowed
linha 10: Wrong indentation for "Step", expected indentation level of 2, but got 4
linha 10: Step name is too long. Length of 128 is longer than the maximum allowed: 70
linha 11: Wrong indentation for "Step", expected indentation level of 2, but got 4
linha 13: Multiple empty lines are not allowed
linha 14: Multiple empty lines are not allowed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21: Multiple empty lines are not allowed
linha 22: Multiple empty lines are not allowed
linha 24: Wrong indentation for "Step", expected indentation level of 2, but got 4
linha 24: Step name is too long. Length of 98 is longer than the maximum allowed: 70
linha 25: Wrong indentation for "Step", expected indentation level of 2, but got 4
linha 27: Multiple empty lines are not allowed
linha 28: Multiple empty lines are not allowed</t>
  </si>
  <si>
    <t>linha 4: Step name is too long. Length of 113 is longer than the maximum allowed: 70
linha 7: Multiple empty lines are not allowed
linha 8: Multiple empty lines are not allowed
linha 10: Step name is too long. Length of 128 is longer than the maximum allowed: 70
linha 13: Multiple empty lines are not allowed
linha 14: Multiple empty lines are not allowed
linha 21: Multiple empty lines are not allowed
linha 22: Multiple empty lines are not allowed
linha 24: Step name is too long. Length of 98 is longer than the maximum allowed: 70
linha 27: Multiple empty lines are not allowed
linha 28: Multiple empty lines are not allowed</t>
  </si>
  <si>
    <t>linha 4: Step name is too long. Length of 113 is longer than the maximum allowed: 70
linha 10: Step name is too long. Length of 128 is longer than the maximum allowed: 70
linha 24: Step name is too long. Length of 98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</si>
  <si>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10: Multiple empty lines are not allowed
linha 11: Multiple empty lines are not allowed</t>
  </si>
  <si>
    <t>linha 10: Multiple empty lines are not allowed
linha 11: Multiple empty lines are not allowed</t>
  </si>
  <si>
    <t>linha 5: Wrong indentation for "Step", expected indentation level of 2, but got 4
linha 5: Step name is too long. Length of 76 is longer than the maximum allowed: 70
linha 6: Wrong indentation for "Step", expected indentation level of 2, but got 4
linha 7: Wrong indentation for "Step", expected indentation level of 2, but got 4
linha 8: Wrong indentation for "Step", expected indentation level of 2, but got 4
linha 10: Multiple empty lines are not allowed
linha 11: Multiple empty lines are not allowed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19: Multiple empty lines are not allowed
linha 20: Multiple empty lines are not allowed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27: Multiple empty lines are not allowed
linha 28: Multiple empty lines are not allowed
linha 30: Wrong indentation for "Step", expected indentation level of 2, but got 4
linha 31: Wrong indentation for "Step", expected indentation level of 2, but got 4
linha 32: Wrong indentation for "Step", expected indentation level of 2, but got 4
linha 32: Step name is too long. Length of 81 is longer than the maximum allowed: 70
linha 33: Wrong indentation for "Step", expected indentation level of 2, but got 4
linha 35: Multiple empty lines are not allowed
linha 36: Multiple empty lines are not allowed</t>
  </si>
  <si>
    <t>linha 5: Step name is too long. Length of 76 is longer than the maximum allowed: 70
linha 10: Multiple empty lines are not allowed
linha 11: Multiple empty lines are not allowed
linha 19: Multiple empty lines are not allowed
linha 20: Multiple empty lines are not allowed
linha 27: Multiple empty lines are not allowed
linha 28: Multiple empty lines are not allowed
linha 32: Step name is too long. Length of 81 is longer than the maximum allowed: 70
linha 35: Multiple empty lines are not allowed
linha 36: Multiple empty lines are not allowed</t>
  </si>
  <si>
    <t>linha 5: Step name is too long. Length of 76 is longer than the maximum allowed: 70
linha 32: Step name is too long. Length of 81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</si>
  <si>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11: Step name is too long. Length of 93 is longer than the maximum allowed: 70
linha 12: Wrong indentation for "Step", expected indentation level of 2, but got 4
linha 12: Step name is too long. Length of 98 is longer than the maximum allowed: 70
linha 13: Wrong indentation for "Step", expected indentation level of 2, but got 4
linha 13: Step name is too long. Length of 98 is longer than the maximum allowed: 70
linha 15: Multiple empty lines are not allowed
linha 16: Multiple empty lines are not allowed</t>
  </si>
  <si>
    <t>linha 11: Step name is too long. Length of 93 is longer than the maximum allowed: 70
linha 12: Step name is too long. Length of 98 is longer than the maximum allowed: 70
linha 13: Step name is too long. Length of 98 is longer than the maximum allowed: 70
linha 15: Multiple empty lines are not allowed
linha 16: Multiple empty lines are not allowed</t>
  </si>
  <si>
    <t>linha 11: Step name is too long. Length of 93 is longer than the maximum allowed: 70
linha 12: Step name is too long. Length of 98 is longer than the maximum allowed: 70
linha 13: Step name is too long. Length of 98 is longer than the maximum allowed: 70</t>
  </si>
  <si>
    <t>linha 5: Wrong indentation for "Step", expected indentation level of 2, but got 4
linha 5: Step name is too long. Length of 75 is longer than the maximum allowed: 70
linha 6: Wrong indentation for "Step", expected indentation level of 2, but got 4
linha 7: Wrong indentation for "Step", expected indentation level of 2, but got 4
linha 8: Wrong indentation for "Step", expected indentation level of 2, but got 4
linha 8: Step name is too long. Length of 78 is longer than the maximum allowed: 70
linha 9: Wrong indentation for "Step", expected indentation level of 2, but got 4
linha 11: Multiple empty lines are not allowed
linha 12: Multiple empty lines are not allowed
linha 15: Wrong indentation for "Step", expected indentation level of 2, but got 4
linha 15: Step name is too long. Length of 75 is longer than the maximum allowed: 70
linha 16: Wrong indentation for "Step", expected indentation level of 2, but got 4
linha 17: Wrong indentation for "Step", expected indentation level of 2, but got 4
linha 18: Wrong indentation for "Step", expected indentation level of 2, but got 4
linha 18: Step name is too long. Length of 86 is longer than the maximum allowed: 70
linha 19: Wrong indentation for "Step", expected indentation level of 2, but got 4
linha 21: Multiple empty lines are not allowed
linha 22: Multiple empty lines are not allowed</t>
  </si>
  <si>
    <t>linha 5: Step name is too long. Length of 75 is longer than the maximum allowed: 70
linha 8: Step name is too long. Length of 78 is longer than the maximum allowed: 70
linha 11: Multiple empty lines are not allowed
linha 12: Multiple empty lines are not allowed
linha 15: Step name is too long. Length of 75 is longer than the maximum allowed: 70
linha 18: Step name is too long. Length of 86 is longer than the maximum allowed: 70
linha 21: Multiple empty lines are not allowed
linha 22: Multiple empty lines are not allowed</t>
  </si>
  <si>
    <t>linha 5: Step name is too long. Length of 75 is longer than the maximum allowed: 70
linha 8: Step name is too long. Length of 78 is longer than the maximum allowed: 70
linha 15: Step name is too long. Length of 75 is longer than the maximum allowed: 70
linha 18: Step name is too long. Length of 86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</si>
  <si>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9: Step name is too long. Length of 81 is longer than the maximum allowed: 70
linha 10: Wrong indentation for "Step", expected indentation level of 2, but got 4
linha 12: Multiple empty lines are not allowed
linha 13: Multiple empty lines are not allowed
linha 16: Wrong indentation for "Step", expected indentation level of 2, but got 4
linha 17: Wrong indentation for "Step", expected indentation level of 2, but got 4
linha 17: Step name is too long. Length of 73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81 is longer than the maximum allowed: 70
linha 21: Wrong indentation for "Step", expected indentation level of 2, but got 4
linha 23: Multiple empty lines are not allowed
linha 24: Multiple empty lines are not allowed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81 is longer than the maximum allowed: 70
linha 31: Wrong indentation for "Step", expected indentation level of 2, but got 4
linha 33: Multiple empty lines are not allowed
linha 34: Multiple empty lines are not allowed
linha 37: Wrong indentation for "Step", expected indentation level of 2, but got 4
linha 38: Wrong indentation for "Step", expected indentation level of 2, but got 4
linha 38: Step name is too long. Length of 85 is longer than the maximum allowed: 70
linha 39: Wrong indentation for "Step", expected indentation level of 2, but got 4
linha 40: Wrong indentation for "Step", expected indentation level of 2, but got 4
linha 41: Wrong indentation for "Step", expected indentation level of 2, but got 4
linha 41: Step name is too long. Length of 81 is longer than the maximum allowed: 70
linha 42: Wrong indentation for "Step", expected indentation level of 2, but got 4
linha 44: Multiple empty lines are not allowed
linha 45: Multiple empty lines are not allowed</t>
  </si>
  <si>
    <t>linha 9: Step name is too long. Length of 81 is longer than the maximum allowed: 70
linha 12: Multiple empty lines are not allowed
linha 13: Multiple empty lines are not allowed
linha 17: Step name is too long. Length of 73 is longer than the maximum allowed: 70
linha 20: Step name is too long. Length of 81 is longer than the maximum allowed: 70
linha 23: Multiple empty lines are not allowed
linha 24: Multiple empty lines are not allowed
linha 30: Step name is too long. Length of 81 is longer than the maximum allowed: 70
linha 33: Multiple empty lines are not allowed
linha 34: Multiple empty lines are not allowed
linha 38: Step name is too long. Length of 85 is longer than the maximum allowed: 70
linha 41: Step name is too long. Length of 81 is longer than the maximum allowed: 70
linha 44: Multiple empty lines are not allowed
linha 45: Multiple empty lines are not allowed</t>
  </si>
  <si>
    <t>linha 9: Step name is too long. Length of 81 is longer than the maximum allowed: 70
linha 17: Step name is too long. Length of 73 is longer than the maximum allowed: 70
linha 20: Step name is too long. Length of 81 is longer than the maximum allowed: 70
linha 30: Step name is too long. Length of 81 is longer than the maximum allowed: 70
linha 38: Step name is too long. Length of 85 is longer than the maximum allowed: 70
linha 41: Step name is too long. Length of 81 is longer than the maximum allowed: 70</t>
  </si>
  <si>
    <t>linha 4: Wrong indentation for "Step", expected indentation level of 2, but got 4
linha 4: Step name is too long. Length of 114 is longer than the maximum allowed: 70
linha 5: Wrong indentation for "Step", expected indentation level of 2, but got 4
linha 6: Wrong indentation for "Step", expected indentation level of 2, but got 4
linha 8: Multiple empty lines are not allowed
linha 9: Multiple empty lines are not allowed
linha 10: Scenario name is already used in: output/6-FeatureEvaluation/featuresToEvaluation/Originais/billabear_billabear/confirm_email_story_processado.feature:3
linha 11: Wrong indentation for "Step", expected indentation level of 2, but got 4
linha 11: Step name is too long. Length of 114 is longer than the maximum allowed: 70
linha 12: Wrong indentation for "Step", expected indentation level of 2, but got 4
linha 13: Wrong indentation for "Step", expected indentation level of 2, but got 4
linha 15: Multiple empty lines are not allowed
linha 16: Multiple empty lines are not allowed</t>
  </si>
  <si>
    <t>linha 4: Step name is too long. Length of 114 is longer than the maximum allowed: 70
linha 8: Multiple empty lines are not allowed
linha 9: Multiple empty lines are not allowed
linha 10: Scenario name is already used in: output/6-FeatureEvaluation/featuresToEvaluation/Originais/billabear_billabear/confirm_email_story_processado.feature:3
linha 11: Step name is too long. Length of 114 is longer than the maximum allowed: 70
linha 15: Multiple empty lines are not allowed
linha 16: Multiple empty lines are not allowed</t>
  </si>
  <si>
    <t>linha 4: Step name is too long. Length of 114 is longer than the maximum allowed: 70
linha 10: Scenario name is already used in: output/6-FeatureEvaluation/featuresToEvaluation/Originais/billabear_billabear/confirm_email_story_processado.feature:3
linha 11: Step name is too long. Length of 114 is longer than the maximum allowed: 70</t>
  </si>
  <si>
    <t>linha 4: Wrong indentation for "Step", expected indentation level of 2, but got 4
linha 4: Step name is too long. Length of 75 is longer than the maximum allowed: 70
linha 5: Wrong indentation for "Step", expected indentation level of 2, but got 4
linha 6: Wrong indentation for "Step", expected indentation level of 2, but got 4
linha 8: Multiple empty lines are not allowed
linha 9: Multiple empty lines are not allowed
linha 11: Wrong indentation for "Step", expected indentation level of 2, but got 4
linha 11: Step name is too long. Length of 75 is longer than the maximum allowed: 70
linha 12: Wrong indentation for "Step", expected indentation level of 2, but got 4
linha 13: Wrong indentation for "Step", expected indentation level of 2, but got 4
linha 15: Multiple empty lines are not allowed
linha 16: Multiple empty lines are not allowed
linha 18: Wrong indentation for "Step", expected indentation level of 2, but got 4
linha 18: Step name is too long. Length of 75 is longer than the maximum allowed: 70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24: Multiple empty lines are not allowed
linha 25: Multiple empty lines are not allowed
linha 27: Wrong indentation for "Step", expected indentation level of 2, but got 4
linha 27: Step name is too long. Length of 75 is longer than the maximum allowed: 70
linha 28: Wrong indentation for "Step", expected indentation level of 2, but got 4
linha 29: Wrong indentation for "Step", expected indentation level of 2, but got 4
linha 30: Wrong indentation for "Step", expected indentation level of 2, but got 4
linha 32: Multiple empty lines are not allowed
linha 33: Multiple empty lines are not allowed
linha 34: Scenario name is already used in: output/6-FeatureEvaluation/featuresToEvaluation/Originais/billabear_billabear/create_product_1_story_processado.feature:3
linha 35: Wrong indentation for "Step", expected indentation level of 2, but got 4
linha 35: Step name is too long. Length of 75 is longer than the maximum allowed: 70
linha 36: Wrong indentation for "Step", expected indentation level of 2, but got 4
linha 37: Wrong indentation for "Step", expected indentation level of 2, but got 4
linha 39: Multiple empty lines are not allowed
linha 40: Multiple empty lines are not allowed</t>
  </si>
  <si>
    <t>linha 4: Step name is too long. Length of 75 is longer than the maximum allowed: 70
linha 8: Multiple empty lines are not allowed
linha 9: Multiple empty lines are not allowed
linha 11: Step name is too long. Length of 75 is longer than the maximum allowed: 70
linha 15: Multiple empty lines are not allowed
linha 16: Multiple empty lines are not allowed
linha 18: Step name is too long. Length of 75 is longer than the maximum allowed: 70
linha 24: Multiple empty lines are not allowed
linha 25: Multiple empty lines are not allowed
linha 27: Step name is too long. Length of 75 is longer than the maximum allowed: 70
linha 32: Multiple empty lines are not allowed
linha 33: Multiple empty lines are not allowed
linha 34: Scenario name is already used in: output/6-FeatureEvaluation/featuresToEvaluation/Originais/billabear_billabear/create_product_1_story_processado.feature:3
linha 35: Step name is too long. Length of 75 is longer than the maximum allowed: 70
linha 39: Multiple empty lines are not allowed
linha 40: Multiple empty lines are not allowed</t>
  </si>
  <si>
    <t>linha 4: Step name is too long. Length of 75 is longer than the maximum allowed: 70
linha 11: Step name is too long. Length of 75 is longer than the maximum allowed: 70
linha 18: Step name is too long. Length of 75 is longer than the maximum allowed: 70
linha 27: Step name is too long. Length of 75 is longer than the maximum allowed: 70
linha 34: Scenario name is already used in: output/6-FeatureEvaluation/featuresToEvaluation/Originais/billabear_billabear/create_product_1_story_processado.feature:3
linha 35: Step name is too long. Length of 75 is longer than the maximum allowed: 70</t>
  </si>
  <si>
    <t>linha 4: Wrong indentation for "Step", expected indentation level of 2, but got 4
linha 4: Step name is too long. Length of 75 is longer than the maximum allowed: 70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8: Step name is too long. Length of 76 is longer than the maximum allowed: 70
linha 8: Step "When I generate a receipt for the payment for "customer.one@example.org" for 3500" should use And instead of When
linha 9: Wrong indentation for "Step", expected indentation level of 2, but got 4
linha 11: Multiple empty lines are not allowed
linha 12: Multiple empty lines are not allowed</t>
  </si>
  <si>
    <t>linha 4: Step name is too long. Length of 75 is longer than the maximum allowed: 70
linha 8: Step name is too long. Length of 76 is longer than the maximum allowed: 70
linha 8: Step "When I generate a receipt for the payment for "customer.one@example.org" for 3500" should use And instead of When
linha 11: Multiple empty lines are not allowed
linha 12: Multiple empty lines are not allowed</t>
  </si>
  <si>
    <t>linha 4: Step name is too long. Length of 75 is longer than the maximum allowed: 70
linha 8: Step name is too long. Length of 76 is longer than the maximum allowed: 70
linha 8: Step "When I generate a receipt for the payment for "customer.one@example.org" for 3500" should use And instead of When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</si>
  <si>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10: Multiple empty lines are not allowed
linha 11: Multiple empty lines are not allowed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20: Multiple empty lines are not allowed
linha 21: Multiple empty lines are not allowed</t>
  </si>
  <si>
    <t>linha 10: Multiple empty lines are not allowed
linha 11: Multiple empty lines are not allowed
linha 20: Multiple empty lines are not allowed
linha 21: Multiple empty lines are not allowed</t>
  </si>
  <si>
    <t>linha 5: Wrong indentation for "Step", expected indentation level of 2, but got 4
linha 5: Step name is too long. Length of 122 is longer than the maximum allowed: 70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9: Step "When I create a new bank statement with a CHF account journal" should not appear after step using keyword then
linha 10: Wrong indentation for "Step", expected indentation level of 2, but got 4
linha 10: Step name is too long. Length of 76 is longer than the maximum allowed: 70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16: Multiple empty lines are not allowed
linha 17: Multiple empty lines are not allowed
linha 18: Element Scenario too long: actual 20, expected 15
linha 20: Wrong indentation for "Step", expected indentation level of 2, but got 4
linha 20: Step name is too long. Length of 126 is longer than the maximum allowed: 70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24: Step "Given I have recorded on the 1 jan 2009 an invoice (in_invoice) of 1000,0 CHF without tax called MySecondSupplierInvoiceBankStatement" should not appear after step using keyword then
linha 24: Step name is too long. Length of 127 is longer than the maximum allowed: 70
linha 25: Wrong indentation for "Step", expected indentation level of 2, but got 4
linha 25: Step "When I press the validate button" should not appear after step using keyword then
linha 26: Wrong indentation for "Step", expected indentation level of 2, but got 4
linha 27: Wrong indentation for "Step", expected indentation level of 2, but got 4
linha 28: Wrong indentation for "Step", expected indentation level of 2, but got 4
linha 28: Step "Given I create a new bank statement called MyBankStatement with a CHF account journal" should not appear after step using keyword then
linha 28: Step name is too long. Length of 79 is longer than the maximum allowed: 70
linha 29: Wrong indentation for "Step", expected indentation level of 2, but got 4
linha 29: Step name is too long. Length of 141 is longer than the maximum allowed: 70
linha 30: Wrong indentation for "Step", expected indentation level of 2, but got 4
linha 31: Wrong indentation for "Step", expected indentation level of 2, but got 4
linha 31: Step "Given I take the created invoice MyFirstSupplierInvoiceBankStatement" should not appear after step using keyword then
linha 32: Wrong indentation for "Step", expected indentation level of 2, but got 4
linha 32: Step "When I call the Pay invoice wizard" should not appear after step using keyword then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37: Step "Given I take the bank statement called MyBankStatement" should not appear after step using keyword then
linha 38: Wrong indentation for "Step", expected indentation level of 2, but got 4
linha 38: Step "When push the confirm button of the statement it should raise a warning because one invoice is already reconciled" should not appear after step using keyword then
linha 38: Step name is too long. Length of 108 is longer than the maximum allowed: 70
linha 39: Wrong indentation for "Step", expected indentation level of 2, but got 4
linha 41: Multiple empty lines are not allowed
linha 42: Multiple empty lines are not allowed</t>
  </si>
  <si>
    <t>linha 5: Step name is too long. Length of 122 is longer than the maximum allowed: 70
linha 9: Step "When I create a new bank statement with a CHF account journal" should not appear after step using keyword then
linha 10: Step name is too long. Length of 76 is longer than the maximum allowed: 70
linha 16: Multiple empty lines are not allowed
linha 17: Multiple empty lines are not allowed
linha 18: Element Scenario too long: actual 20, expected 15
linha 20: Step name is too long. Length of 126 is longer than the maximum allowed: 70
linha 24: Step "Given I have recorded on the 1 jan 2009 an invoice (in_invoice) of 1000,0 CHF without tax called MySecondSupplierInvoiceBankStatement" should not appear after step using keyword then
linha 24: Step name is too long. Length of 127 is longer than the maximum allowed: 70
linha 25: Step "When I press the validate button" should not appear after step using keyword then
linha 28: Step "Given I create a new bank statement called MyBankStatement with a CHF account journal" should not appear after step using keyword then
linha 28: Step name is too long. Length of 79 is longer than the maximum allowed: 70
linha 29: Step name is too long. Length of 141 is longer than the maximum allowed: 70
linha 31: Step "Given I take the created invoice MyFirstSupplierInvoiceBankStatement" should not appear after step using keyword then
linha 32: Step "When I call the Pay invoice wizard" should not appear after step using keyword then
linha 37: Step "Given I take the bank statement called MyBankStatement" should not appear after step using keyword then
linha 38: Step "When push the confirm button of the statement it should raise a warning because one invoice is already reconciled" should not appear after step using keyword then
linha 38: Step name is too long. Length of 108 is longer than the maximum allowed: 70
linha 41: Multiple empty lines are not allowed
linha 42: Multiple empty lines are not allowed</t>
  </si>
  <si>
    <t>linha 5: Step name is too long. Length of 122 is longer than the maximum allowed: 70
linha 9: Step "When I create a new bank statement with a CHF account journal" should not appear after step using keyword then
linha 10: Step name is too long. Length of 76 is longer than the maximum allowed: 70
linha 18: Element Scenario too long: actual 20, expected 15
linha 20: Step name is too long. Length of 126 is longer than the maximum allowed: 70
linha 24: Step "Given I have recorded on the 1 jan 2009 an invoice (in_invoice) of 1000,0 CHF without tax called MySecondSupplierInvoiceBankStatement" should not appear after step using keyword then
linha 24: Step name is too long. Length of 127 is longer than the maximum allowed: 70
linha 25: Step "When I press the validate button" should not appear after step using keyword then
linha 28: Step "Given I create a new bank statement called MyBankStatement with a CHF account journal" should not appear after step using keyword then
linha 28: Step name is too long. Length of 79 is longer than the maximum allowed: 70
linha 29: Step name is too long. Length of 141 is longer than the maximum allowed: 70
linha 31: Step "Given I take the created invoice MyFirstSupplierInvoiceBankStatement" should not appear after step using keyword then
linha 32: Step "When I call the Pay invoice wizard" should not appear after step using keyword then
linha 37: Step "Given I take the bank statement called MyBankStatement" should not appear after step using keyword then
linha 38: Step "When push the confirm button of the statement it should raise a warning because one invoice is already reconciled" should not appear after step using keyword then
linha 38: Step name is too long. Length of 108 is longer than the maximum allowed: 70</t>
  </si>
  <si>
    <t>linha 3: Element Scenario too long: actual 16, expected 15
linha 5: Wrong indentation for "Step", expected indentation level of 2, but got 4
linha 5: Step name is too long. Length of 117 is longer than the maximum allowed: 70
linha 6: Wrong indentation for "Step", expected indentation level of 2, but got 4
linha 7: Wrong indentation for "Step", expected indentation level of 2, but got 4
linha 8: Wrong indentation for "Step", expected indentation level of 2, but got 4
linha 8: Step "When I call the Pay invoice wizard" should not appear after step using keyword then
linha 9: Wrong indentation for "Step", expected indentation level of 2, but got 4
linha 10: Wrong indentation for "Step", expected indentation level of 2, but got 4
linha 11: Wrong indentation for "Step", expected indentation level of 2, but got 4
linha 11: Step "When I call the Pay invoice wizard" should not appear after step using keyword then
linha 12: Wrong indentation for "Step", expected indentation level of 2, but got 4
linha 13: Wrong indentation for "Step", expected indentation level of 2, but got 4
linha 14: Wrong indentation for "Step", expected indentation level of 2, but got 4
linha 14: Step "When I call the Pay invoice wizard" should not appear after step using keyword then
linha 15: Wrong indentation for "Step", expected indentation level of 2, but got 4
linha 16: Wrong indentation for "Step", expected indentation level of 2, but got 4
linha 17: Wrong indentation for "Step", expected indentation level of 2, but got 4
linha 17: Step "When I call the Pay invoice wizard" should not appear after step using keyword then
linha 18: Wrong indentation for "Step", expected indentation level of 2, but got 4
linha 19: Wrong indentation for "Step", expected indentation level of 2, but got 4
linha 20: Wrong indentation for "Step", expected indentation level of 2, but got 4
linha 22: Multiple empty lines are not allowed
linha 23: Multiple empty lines are not allowed</t>
  </si>
  <si>
    <t>linha 3: Element Scenario too long: actual 16, expected 15
linha 5: Step name is too long. Length of 117 is longer than the maximum allowed: 70
linha 8: Step "When I call the Pay invoice wizard" should not appear after step using keyword then
linha 11: Step "When I call the Pay invoice wizard" should not appear after step using keyword then
linha 14: Step "When I call the Pay invoice wizard" should not appear after step using keyword then
linha 17: Step "When I call the Pay invoice wizard" should not appear after step using keyword then
linha 22: Multiple empty lines are not allowed
linha 23: Multiple empty lines are not allowed</t>
  </si>
  <si>
    <t>linha 3: Element Scenario too long: actual 16, expected 15
linha 5: Step name is too long. Length of 117 is longer than the maximum allowed: 70
linha 8: Step "When I call the Pay invoice wizard" should not appear after step using keyword then
linha 11: Step "When I call the Pay invoice wizard" should not appear after step using keyword then
linha 14: Step "When I call the Pay invoice wizard" should not appear after step using keyword then
linha 17: Step "When I call the Pay invoice wizard" should not appear after step using keyword then</t>
  </si>
  <si>
    <t>linha 4: Wrong indentation for "Step", expected indentation level of 2, but got 4
linha 4: Step name is too long. Length of 81 is longer than the maximum allowed: 70
linha 5: Wrong indentation for "Step", expected indentation level of 2, but got 4
linha 6: Wrong indentation for "Step", expected indentation level of 2, but got 4
linha 6: Step name is too long. Length of 99 is longer than the maximum allowed: 70
linha 6: Step "Given I need a "sale.order.line" with name: SO Line 1 Device Reseller and oid: scenario.so_reseller_line1" should use And instead of Given
linha 7: Wrong indentation for "Step", expected indentation level of 2, but got 4
linha 9: Multiple empty lines are not allowed
linha 10: Multiple empty lines are not allowed
linha 11: Element Scenario too long: actual 16, expected 15
linha 12: Wrong indentation for "Step", expected indentation level of 2, but got 4
linha 12: Step name is too long. Length of 90 is longer than the maximum allowed: 70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17: Step "When I press the create invoice button from SO" should not appear after step using keyword then
linha 18: Wrong indentation for "Step", expected indentation level of 2, but got 4
linha 19: Wrong indentation for "Step", expected indentation level of 2, but got 4
linha 20: Wrong indentation for "Step", expected indentation level of 2, but got 4
linha 20: Step "Given I take the related invoice" should not appear after step using keyword then
linha 21: Wrong indentation for "Step", expected indentation level of 2, but got 4
linha 21: Step name is too long. Length of 75 is longer than the maximum allowed: 70
linha 22: Wrong indentation for "Step", expected indentation level of 2, but got 4
linha 22: Step "When I press the validate button" should not appear after step using keyword then
linha 23: Wrong indentation for "Step", expected indentation level of 2, but got 4
linha 24: Wrong indentation for "Step", expected indentation level of 2, but got 4
linha 24: Step "Given I take the related invoice" should not appear after step using keyword then
linha 25: Wrong indentation for "Step", expected indentation level of 2, but got 4
linha 26: Wrong indentation for "Step", expected indentation level of 2, but got 4
linha 26: Step name is too long. Length of 121 is longer than the maximum allowed: 70
linha 27: Wrong indentation for "Step", expected indentation level of 2, but got 4
linha 27: Step name is too long. Length of 132 is longer than the maximum allowed: 70
linha 29: Multiple empty lines are not allowed
linha 30: Multiple empty lines are not allowed
linha 31: Element Scenario too long: actual 23, expected 15
linha 33: Wrong indentation for "Step", expected indentation level of 2, but got 4
linha 33: Step name is too long. Length of 99 is longer than the maximum allowed: 70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38: Step "When I press the create invoice button from SO" should not appear after step using keyword then
linha 39: Wrong indentation for "Step", expected indentation level of 2, but got 4
linha 40: Wrong indentation for "Step", expected indentation level of 2, but got 4
linha 41: Wrong indentation for "Step", expected indentation level of 2, but got 4
linha 41: Step "Given I take the related invoice" should not appear after step using keyword then
linha 42: Wrong indentation for "Step", expected indentation level of 2, but got 4
linha 43: Wrong indentation for "Step", expected indentation level of 2, but got 4
linha 43: Step "When I press the validate button" should not appear after step using keyword then
linha 44: Wrong indentation for "Step", expected indentation level of 2, but got 4
linha 45: Wrong indentation for "Step", expected indentation level of 2, but got 4
linha 45: Step "Given I take the related invoice" should not appear after step using keyword then
linha 46: Wrong indentation for "Step", expected indentation level of 2, but got 4
linha 46: Step "When I press the cancel button on this invoice" should not appear after step using keyword then
linha 47: Wrong indentation for "Step", expected indentation level of 2, but got 4
linha 48: Wrong indentation for "Step", expected indentation level of 2, but got 4
linha 48: Step "Given I take the related invoice" should not appear after step using keyword then
linha 49: Wrong indentation for "Step", expected indentation level of 2, but got 4
linha 49: Step "When then I press the set to draft button" should not appear after step using keyword then
linha 50: Wrong indentation for "Step", expected indentation level of 2, but got 4
linha 51: Wrong indentation for "Step", expected indentation level of 2, but got 4
linha 52: Wrong indentation for "Step", expected indentation level of 2, but got 4
linha 52: Step "Given I take the related invoice" should not appear after step using keyword then
linha 53: Wrong indentation for "Step", expected indentation level of 2, but got 4
linha 53: Step "When I press the validate button" should not appear after step using keyword then
linha 54: Wrong indentation for "Step", expected indentation level of 2, but got 4
linha 55: Wrong indentation for "Step", expected indentation level of 2, but got 4
linha 57: Multiple empty lines are not allowed
linha 58: Multiple empty lines are not allowed</t>
  </si>
  <si>
    <t>linha 4: Step name is too long. Length of 81 is longer than the maximum allowed: 70
linha 6: Step name is too long. Length of 99 is longer than the maximum allowed: 70
linha 6: Step "Given I need a "sale.order.line" with name: SO Line 1 Device Reseller and oid: scenario.so_reseller_line1" should use And instead of Given
linha 9: Multiple empty lines are not allowed
linha 10: Multiple empty lines are not allowed
linha 11: Element Scenario too long: actual 16, expected 15
linha 12: Step name is too long. Length of 90 is longer than the maximum allowed: 70
linha 17: Step "When I press the create invoice button from SO" should not appear after step using keyword then
linha 20: Step "Given I take the related invoice" should not appear after step using keyword then
linha 21: Step name is too long. Length of 75 is longer than the maximum allowed: 70
linha 22: Step "When I press the validate button" should not appear after step using keyword then
linha 24: Step "Given I take the related invoice" should not appear after step using keyword then
linha 26: Step name is too long. Length of 121 is longer than the maximum allowed: 70
linha 27: Step name is too long. Length of 132 is longer than the maximum allowed: 70
linha 29: Multiple empty lines are not allowed
linha 30: Multiple empty lines are not allowed
linha 31: Element Scenario too long: actual 23, expected 15
linha 33: Step name is too long. Length of 99 is longer than the maximum allowed: 70
linha 38: Step "When I press the create invoice button from SO" should not appear after step using keyword then
linha 41: Step "Given I take the related invoice" should not appear after step using keyword then
linha 43: Step "When I press the validate button" should not appear after step using keyword then
linha 45: Step "Given I take the related invoice" should not appear after step using keyword then
linha 46: Step "When I press the cancel button on this invoice" should not appear after step using keyword then
linha 48: Step "Given I take the related invoice" should not appear after step using keyword then
linha 49: Step "When then I press the set to draft button" should not appear after step using keyword then
linha 52: Step "Given I take the related invoice" should not appear after step using keyword then
linha 53: Step "When I press the validate button" should not appear after step using keyword then
linha 57: Multiple empty lines are not allowed
linha 58: Multiple empty lines are not allowed</t>
  </si>
  <si>
    <t>linha 4: Step name is too long. Length of 81 is longer than the maximum allowed: 70
linha 6: Step name is too long. Length of 99 is longer than the maximum allowed: 70
linha 6: Step "Given I need a "sale.order.line" with name: SO Line 1 Device Reseller and oid: scenario.so_reseller_line1" should use And instead of Given
linha 11: Element Scenario too long: actual 16, expected 15
linha 12: Step name is too long. Length of 90 is longer than the maximum allowed: 70
linha 17: Step "When I press the create invoice button from SO" should not appear after step using keyword then
linha 20: Step "Given I take the related invoice" should not appear after step using keyword then
linha 21: Step name is too long. Length of 75 is longer than the maximum allowed: 70
linha 22: Step "When I press the validate button" should not appear after step using keyword then
linha 24: Step "Given I take the related invoice" should not appear after step using keyword then
linha 26: Step name is too long. Length of 121 is longer than the maximum allowed: 70
linha 27: Step name is too long. Length of 132 is longer than the maximum allowed: 70
linha 31: Element Scenario too long: actual 23, expected 15
linha 33: Step name is too long. Length of 99 is longer than the maximum allowed: 70
linha 38: Step "When I press the create invoice button from SO" should not appear after step using keyword then
linha 41: Step "Given I take the related invoice" should not appear after step using keyword then
linha 43: Step "When I press the validate button" should not appear after step using keyword then
linha 45: Step "Given I take the related invoice" should not appear after step using keyword then
linha 46: Step "When I press the cancel button on this invoice" should not appear after step using keyword then
linha 48: Step "Given I take the related invoice" should not appear after step using keyword then
linha 49: Step "When then I press the set to draft button" should not appear after step using keyword then
linha 52: Step "Given I take the related invoice" should not appear after step using keyword then
linha 53: Step "When I press the validate button" should not appear after step using keyword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</si>
  <si>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9: Multiple empty lines are not allowed
linha 10: Multiple empty lines are not allowed
linha 12: Wrong indentation for "Step", expected indentation level of 2, but got 4
linha 13: Wrong indentation for "Step", expected indentation level of 2, but got 4
linha 14: Wrong indentation for "Step", expected indentation level of 2, but got 4
linha 14: Step "Given I take the first found partner to set @partner variable" should not appear after step using keyword when
linha 15: Wrong indentation for "Step", expected indentation level of 2, but got 4
linha 15: Step name is too long. Length of 90 is longer than the maximum allowed: 70
linha 16: Wrong indentation for "Step", expected indentation level of 2, but got 4
linha 17: Wrong indentation for "Step", expected indentation level of 2, but got 4
linha 19: Multiple empty lines are not allowed
linha 20: Multiple empty lines are not allowed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27: Multiple empty lines are not allowed
linha 28: Multiple empty lines are not allowed
linha 30: Wrong indentation for "Step", expected indentation level of 2, but got 4
linha 30: Step name is too long. Length of 93 is longer than the maximum allowed: 70
linha 31: Wrong indentation for "Step", expected indentation level of 2, but got 4
linha 32: Wrong indentation for "Step", expected indentation level of 2, but got 4
linha 34: Multiple empty lines are not allowed
linha 35: Multiple empty lines are not allowed
linha 37: Wrong indentation for "Step", expected indentation level of 2, but got 4
linha 37: Step name is too long. Length of 72 is longer than the maximum allowed: 70
linha 38: Wrong indentation for "Step", expected indentation level of 2, but got 4
linha 39: Wrong indentation for "Step", expected indentation level of 2, but got 4
linha 40: Wrong indentation for "Step", expected indentation level of 2, but got 4
linha 40: Step "When I change the partner name to "Demour sa"" should not appear after step using keyword then
linha 41: Wrong indentation for "Step", expected indentation level of 2, but got 4
linha 43: Multiple empty lines are not allowed
linha 44: Multiple empty lines are not allowed
linha 46: Wrong indentation for "Step", expected indentation level of 2, but got 4
linha 47: Wrong indentation for "Step", expected indentation level of 2, but got 4
linha 48: Wrong indentation for "Step", expected indentation level of 2, but got 4
linha 50: Multiple empty lines are not allowed
linha 51: Multiple empty lines are not allowed
linha 53: Wrong indentation for "Step", expected indentation level of 2, but got 4
linha 54: Wrong indentation for "Step", expected indentation level of 2, but got 4
linha 55: Wrong indentation for "Step", expected indentation level of 2, but got 4
linha 56: Wrong indentation for "Step", expected indentation level of 2, but got 4
linha 56: Step "Given I need a "res.partner.address" with reference "partner_address_rincewind"" should not appear after step using keyword then
linha 56: Step name is too long. Length of 73 is longer than the maximum allowed: 70
linha 57: Wrong indentation for "Step", expected indentation level of 2, but got 4
linha 57: Step "When I update it with values:" should not appear after step using keyword then
linha 58: Wrong indentation for "Step", expected indentation level of 2, but got 4
linha 60: Multiple empty lines are not allowed
linha 61: Multiple empty lines are not allowed
linha 63: Wrong indentation for "Step", expected indentation level of 2, but got 4
linha 65: Multiple empty lines are not allowed
linha 66: Multiple empty lines are not allowed</t>
  </si>
  <si>
    <t>linha 9: Multiple empty lines are not allowed
linha 10: Multiple empty lines are not allowed
linha 14: Step "Given I take the first found partner to set @partner variable" should not appear after step using keyword when
linha 15: Step name is too long. Length of 90 is longer than the maximum allowed: 70
linha 19: Multiple empty lines are not allowed
linha 20: Multiple empty lines are not allowed
linha 27: Multiple empty lines are not allowed
linha 28: Multiple empty lines are not allowed
linha 30: Step name is too long. Length of 93 is longer than the maximum allowed: 70
linha 34: Multiple empty lines are not allowed
linha 35: Multiple empty lines are not allowed
linha 37: Step name is too long. Length of 72 is longer than the maximum allowed: 70
linha 40: Step "When I change the partner name to "Demour sa"" should not appear after step using keyword then
linha 43: Multiple empty lines are not allowed
linha 44: Multiple empty lines are not allowed
linha 50: Multiple empty lines are not allowed
linha 51: Multiple empty lines are not allowed
linha 56: Step "Given I need a "res.partner.address" with reference "partner_address_rincewind"" should not appear after step using keyword then
linha 56: Step name is too long. Length of 73 is longer than the maximum allowed: 70
linha 57: Step "When I update it with values:" should not appear after step using keyword then
linha 60: Multiple empty lines are not allowed
linha 61: Multiple empty lines are not allowed
linha 65: Multiple empty lines are not allowed
linha 66: Multiple empty lines are not allowed</t>
  </si>
  <si>
    <t>linha 14: Step "Given I take the first found partner to set @partner variable" should not appear after step using keyword when
linha 15: Step name is too long. Length of 90 is longer than the maximum allowed: 70
linha 30: Step name is too long. Length of 93 is longer than the maximum allowed: 70
linha 37: Step name is too long. Length of 72 is longer than the maximum allowed: 70
linha 40: Step "When I change the partner name to "Demour sa"" should not appear after step using keyword then
linha 56: Step "Given I need a "res.partner.address" with reference "partner_address_rincewind"" should not appear after step using keyword then
linha 56: Step name is too long. Length of 73 is longer than the maximum allowed: 70
linha 57: Step "When I update it with values:" should not appear after step using keyword then</t>
  </si>
  <si>
    <t>linha 3: Element Scenario too long: actual 50, expected 15
linha 4: Wrong indentation for "Step", expected indentation level of 2, but got 4
linha 4: Step name is too long. Length of 72 is longer than the maximum allowed: 70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9: Step "When I click on dashboard menu "Bookings" of "offerer"" should not appear after step using keyword then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14: Step "When I click on dashboard menu "Listings" of "offerer"" should not appear after step using keyword then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19: Step "When I click on dashboard menu "Payments" of "offerer"" should not appear after step using keyword then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24: Step "When I click on dashboard menu "Comments" of "offerer"" should not appear after step using keyword then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"When I click on the element with css selector ".form-radio span.jcf-unchecked"" should not appear after step using keyword then
linha 30: Step name is too long. Length of 73 is longer than the maximum allowed: 70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36: Step "When I click on dashboard menu "Profile" of "offerer"" should not appear after step using keyword then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
linha 42: Step "When I follow "Payment information"" should not appear after step using keyword then
linha 43: Wrong indentation for "Step", expected indentation level of 2, but got 4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48: Wrong indentation for "Step", expected indentation level of 2, but got 4
linha 48: Step "When I follow "Contact information"" should not appear after step using keyword then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53: Wrong indentation for "Step", expected indentation level of 2, but got 4
linha 55: Multiple empty lines are not allowed
linha 56: Multiple empty lines are not allowed
linha 57: Element Scenario too long: actual 57, expected 15
linha 58: Wrong indentation for "Step", expected indentation level of 2, but got 4
linha 58: Step name is too long. Length of 72 is longer than the maximum allowed: 70
linha 59: Wrong indentation for "Step", expected indentation level of 2, but got 4
linha 60: Wrong indentation for "Step", expected indentation level of 2, but got 4
linha 61: Wrong indentation for "Step", expected indentation level of 2, but got 4
linha 62: Wrong indentation for "Step", expected indentation level of 2, but got 4
linha 62: Step "When I follow "Edit"" should not appear after step using keyword then
linha 63: Wrong indentation for "Step", expected indentation level of 2, but got 4
linha 64: Wrong indentation for "Step", expected indentation level of 2, but got 4
linha 65: Wrong indentation for "Step", expected indentation level of 2, but got 4
linha 66: Wrong indentation for "Step", expected indentation level of 2, but got 4
linha 67: Wrong indentation for "Step", expected indentation level of 2, but got 4
linha 68: Wrong indentation for "Step", expected indentation level of 2, but got 4
linha 69: Wrong indentation for "Step", expected indentation level of 2, but got 4
linha 69: Step "When I follow "Price &amp; conditions"" should not appear after step using keyword then
linha 70: Wrong indentation for "Step", expected indentation level of 2, but got 4
linha 71: Wrong indentation for "Step", expected indentation level of 2, but got 4
linha 72: Wrong indentation for "Step", expected indentation level of 2, but got 4
linha 73: Wrong indentation for "Step", expected indentation level of 2, but got 4
linha 74: Wrong indentation for "Step", expected indentation level of 2, but got 4
linha 75: Wrong indentation for "Step", expected indentation level of 2, but got 4
linha 76: Wrong indentation for "Step", expected indentation level of 2, but got 4
linha 76: Step "When I follow "Calendar"" should not appear after step using keyword then
linha 77: Wrong indentation for "Step", expected indentation level of 2, but got 4
linha 78: Wrong indentation for "Step", expected indentation level of 2, but got 4
linha 79: Wrong indentation for "Step", expected indentation level of 2, but got 4
linha 80: Wrong indentation for "Step", expected indentation level of 2, but got 4
linha 81: Wrong indentation for "Step", expected indentation level of 2, but got 4
linha 82: Wrong indentation for "Step", expected indentation level of 2, but got 4
linha 83: Wrong indentation for "Step", expected indentation level of 2, but got 4
linha 83: Step "When I follow "Photos"" should not appear after step using keyword then
linha 84: Wrong indentation for "Step", expected indentation level of 2, but got 4
linha 85: Wrong indentation for "Step", expected indentation level of 2, but got 4
linha 86: Wrong indentation for "Step", expected indentation level of 2, but got 4
linha 87: Wrong indentation for "Step", expected indentation level of 2, but got 4
linha 88: Wrong indentation for "Step", expected indentation level of 2, but got 4
linha 89: Wrong indentation for "Step", expected indentation level of 2, but got 4
linha 90: Wrong indentation for "Step", expected indentation level of 2, but got 4
linha 90: Step "When I follow "Characteristics"" should not appear after step using keyword then
linha 91: Wrong indentation for "Step", expected indentation level of 2, but got 4
linha 92: Wrong indentation for "Step", expected indentation level of 2, but got 4
linha 93: Wrong indentation for "Step", expected indentation level of 2, but got 4
linha 94: Wrong indentation for "Step", expected indentation level of 2, but got 4
linha 95: Wrong indentation for "Step", expected indentation level of 2, but got 4
linha 96: Wrong indentation for "Step", expected indentation level of 2, but got 4
linha 97: Wrong indentation for "Step", expected indentation level of 2, but got 4
linha 97: Step "When I follow "Various information"" should not appear after step using keyword then
linha 98: Wrong indentation for "Step", expected indentation level of 2, but got 4
linha 99: Wrong indentation for "Step", expected indentation level of 2, but got 4
linha 100: Wrong indentation for "Step", expected indentation level of 2, but got 4
linha 101: Wrong indentation for "Step", expected indentation level of 2, but got 4
linha 102: Wrong indentation for "Step", expected indentation level of 2, but got 4
linha 103: Wrong indentation for "Step", expected indentation level of 2, but got 4
linha 104: Wrong indentation for "Step", expected indentation level of 2, but got 4
linha 104: Step "When I click on dashboard menu "Listings" of "offerer"" should not appear after step using keyword then
linha 105: Wrong indentation for "Step", expected indentation level of 2, but got 4
linha 106: Wrong indentation for "Step", expected indentation level of 2, but got 4
linha 107: Wrong indentation for "Step", expected indentation level of 2, but got 4
linha 107: Step "When I follow "Show"" should not appear after step using keyword then
linha 108: Wrong indentation for "Step", expected indentation level of 2, but got 4
linha 109: Wrong indentation for "Step", expected indentation level of 2, but got 4
linha 110: Wrong indentation for "Step", expected indentation level of 2, but got 4
linha 111: Wrong indentation for "Step", expected indentation level of 2, but got 4
linha 112: Wrong indentation for "Step", expected indentation level of 2, but got 4
linha 113: Wrong indentation for "Step", expected indentation level of 2, but got 4
linha 114: Wrong indentation for "Step", expected indentation level of 2, but got 4
linha 116: Multiple empty lines are not allowed
linha 117: Multiple empty lines are not allowed
linha 118: Element Scenario too long: actual 50, expected 15
linha 119: Wrong indentation for "Step", expected indentation level of 2, but got 4
linha 120: Wrong indentation for "Step", expected indentation level of 2, but got 4
linha 121: Wrong indentation for "Step", expected indentation level of 2, but got 4
linha 122: Wrong indentation for "Step", expected indentation level of 2, but got 4
linha 123: Wrong indentation for "Step", expected indentation level of 2, but got 4
linha 124: Wrong indentation for "Step", expected indentation level of 2, but got 4
linha 125: Wrong indentation for "Step", expected indentation level of 2, but got 4
linha 125: Step "When I click on dashboard menu "Bookings" of "asker"" should not appear after step using keyword then
linha 126: Wrong indentation for "Step", expected indentation level of 2, but got 4
linha 127: Wrong indentation for "Step", expected indentation level of 2, but got 4
linha 128: Wrong indentation for "Step", expected indentation level of 2, but got 4
linha 129: Wrong indentation for "Step", expected indentation level of 2, but got 4
linha 130: Wrong indentation for "Step", expected indentation level of 2, but got 4
linha 130: Step "When I click on dashboard menu "Payments" of "asker"" should not appear after step using keyword then
linha 131: Wrong indentation for "Step", expected indentation level of 2, but got 4
linha 132: Wrong indentation for "Step", expected indentation level of 2, but got 4
linha 133: Wrong indentation for "Step", expected indentation level of 2, but got 4
linha 134: Wrong indentation for "Step", expected indentation level of 2, but got 4
linha 135: Wrong indentation for "Step", expected indentation level of 2, but got 4
linha 135: Step "When I click on the element with css selector ".form-radio span.jcf-unchecked"" should not appear after step using keyword then
linha 135: Step name is too long. Length of 73 is longer than the maximum allowed: 70
linha 136: Wrong indentation for "Step", expected indentation level of 2, but got 4
linha 137: Wrong indentation for "Step", expected indentation level of 2, but got 4
linha 138: Wrong indentation for "Step", expected indentation level of 2, but got 4
linha 139: Wrong indentation for "Step", expected indentation level of 2, but got 4
linha 140: Wrong indentation for "Step", expected indentation level of 2, but got 4
linha 140: Step "When I click on dashboard menu "Comments" of "asker"" should not appear after step using keyword then
linha 141: Wrong indentation for "Step", expected indentation level of 2, but got 4
linha 142: Wrong indentation for "Step", expected indentation level of 2, but got 4
linha 143: Wrong indentation for "Step", expected indentation level of 2, but got 4
linha 144: Wrong indentation for "Step", expected indentation level of 2, but got 4
linha 145: Wrong indentation for "Step", expected indentation level of 2, but got 4
linha 146: Wrong indentation for "Step", expected indentation level of 2, but got 4
linha 146: Step name is too long. Length of 73 is longer than the maximum allowed: 70
linha 147: Wrong indentation for "Step", expected indentation level of 2, but got 4
linha 148: Wrong indentation for "Step", expected indentation level of 2, but got 4
linha 149: Wrong indentation for "Step", expected indentation level of 2, but got 4
linha 150: Wrong indentation for "Step", expected indentation level of 2, but got 4
linha 151: Wrong indentation for "Step", expected indentation level of 2, but got 4
linha 151: Step "When I click on dashboard menu "Profile" of "asker"" should not appear after step using keyword then
linha 152: Wrong indentation for "Step", expected indentation level of 2, but got 4
linha 153: Wrong indentation for "Step", expected indentation level of 2, but got 4
linha 154: Wrong indentation for "Step", expected indentation level of 2, but got 4
linha 155: Wrong indentation for "Step", expected indentation level of 2, but got 4
linha 156: Wrong indentation for "Step", expected indentation level of 2, but got 4
linha 157: Wrong indentation for "Step", expected indentation level of 2, but got 4
linha 157: Step "When I follow "Payment information"" should not appear after step using keyword then
linha 158: Wrong indentation for "Step", expected indentation level of 2, but got 4
linha 159: Wrong indentation for "Step", expected indentation level of 2, but got 4
linha 160: Wrong indentation for "Step", expected indentation level of 2, but got 4
linha 161: Wrong indentation for "Step", expected indentation level of 2, but got 4
linha 162: Wrong indentation for "Step", expected indentation level of 2, but got 4
linha 163: Wrong indentation for "Step", expected indentation level of 2, but got 4
linha 163: Step "When I follow "Contact information"" should not appear after step using keyword then
linha 164: Wrong indentation for "Step", expected indentation level of 2, but got 4
linha 165: Wrong indentation for "Step", expected indentation level of 2, but got 4
linha 166: Wrong indentation for "Step", expected indentation level of 2, but got 4
linha 167: Wrong indentation for "Step", expected indentation level of 2, but got 4
linha 168: Wrong indentation for "Step", expected indentation level of 2, but got 4
linha 170: Multiple empty lines are not allowed
linha 171: Multiple empty lines are not allowed</t>
  </si>
  <si>
    <t>linha 3: Element Scenario too long: actual 50, expected 15
linha 4: Step name is too long. Length of 72 is longer than the maximum allowed: 70
linha 9: Step "When I click on dashboard menu "Bookings" of "offerer"" should not appear after step using keyword then
linha 14: Step "When I click on dashboard menu "Listings" of "offerer"" should not appear after step using keyword then
linha 19: Step "When I click on dashboard menu "Payments" of "offerer"" should not appear after step using keyword then
linha 24: Step "When I click on dashboard menu "Comments" of "offerer"" should not appear after step using keyword then
linha 30: Step "When I click on the element with css selector ".form-radio span.jcf-unchecked"" should not appear after step using keyword then
linha 30: Step name is too long. Length of 73 is longer than the maximum allowed: 70
linha 36: Step "When I click on dashboard menu "Profile" of "offerer"" should not appear after step using keyword then
linha 42: Step "When I follow "Payment information"" should not appear after step using keyword then
linha 48: Step "When I follow "Contact information"" should not appear after step using keyword then
linha 55: Multiple empty lines are not allowed
linha 56: Multiple empty lines are not allowed
linha 57: Element Scenario too long: actual 57, expected 15
linha 58: Step name is too long. Length of 72 is longer than the maximum allowed: 70
linha 62: Step "When I follow "Edit"" should not appear after step using keyword then
linha 69: Step "When I follow "Price &amp; conditions"" should not appear after step using keyword then
linha 76: Step "When I follow "Calendar"" should not appear after step using keyword then
linha 83: Step "When I follow "Photos"" should not appear after step using keyword then
linha 90: Step "When I follow "Characteristics"" should not appear after step using keyword then
linha 97: Step "When I follow "Various information"" should not appear after step using keyword then
linha 104: Step "When I click on dashboard menu "Listings" of "offerer"" should not appear after step using keyword then
linha 107: Step "When I follow "Show"" should not appear after step using keyword then
linha 116: Multiple empty lines are not allowed
linha 117: Multiple empty lines are not allowed
linha 118: Element Scenario too long: actual 50, expected 15
linha 125: Step "When I click on dashboard menu "Bookings" of "asker"" should not appear after step using keyword then
linha 130: Step "When I click on dashboard menu "Payments" of "asker"" should not appear after step using keyword then
linha 135: Step "When I click on the element with css selector ".form-radio span.jcf-unchecked"" should not appear after step using keyword then
linha 135: Step name is too long. Length of 73 is longer than the maximum allowed: 70
linha 140: Step "When I click on dashboard menu "Comments" of "asker"" should not appear after step using keyword then
linha 146: Step name is too long. Length of 73 is longer than the maximum allowed: 70
linha 151: Step "When I click on dashboard menu "Profile" of "asker"" should not appear after step using keyword then
linha 157: Step "When I follow "Payment information"" should not appear after step using keyword then
linha 163: Step "When I follow "Contact information"" should not appear after step using keyword then
linha 170: Multiple empty lines are not allowed
linha 171: Multiple empty lines are not allowed</t>
  </si>
  <si>
    <t>linha 3: Element Scenario too long: actual 50, expected 15
linha 4: Step name is too long. Length of 72 is longer than the maximum allowed: 70
linha 9: Step "When I click on dashboard menu "Bookings" of "offerer"" should not appear after step using keyword then
linha 14: Step "When I click on dashboard menu "Listings" of "offerer"" should not appear after step using keyword then
linha 19: Step "When I click on dashboard menu "Payments" of "offerer"" should not appear after step using keyword then
linha 24: Step "When I click on dashboard menu "Comments" of "offerer"" should not appear after step using keyword then
linha 30: Step "When I click on the element with css selector ".form-radio span.jcf-unchecked"" should not appear after step using keyword then
linha 30: Step name is too long. Length of 73 is longer than the maximum allowed: 70
linha 36: Step "When I click on dashboard menu "Profile" of "offerer"" should not appear after step using keyword then
linha 42: Step "When I follow "Payment information"" should not appear after step using keyword then
linha 48: Step "When I follow "Contact information"" should not appear after step using keyword then
linha 57: Element Scenario too long: actual 57, expected 15
linha 58: Step name is too long. Length of 72 is longer than the maximum allowed: 70
linha 62: Step "When I follow "Edit"" should not appear after step using keyword then
linha 69: Step "When I follow "Price &amp; conditions"" should not appear after step using keyword then
linha 76: Step "When I follow "Calendar"" should not appear after step using keyword then
linha 83: Step "When I follow "Photos"" should not appear after step using keyword then
linha 90: Step "When I follow "Characteristics"" should not appear after step using keyword then
linha 97: Step "When I follow "Various information"" should not appear after step using keyword then
linha 104: Step "When I click on dashboard menu "Listings" of "offerer"" should not appear after step using keyword then
linha 107: Step "When I follow "Show"" should not appear after step using keyword then
linha 118: Element Scenario too long: actual 50, expected 15
linha 125: Step "When I click on dashboard menu "Bookings" of "asker"" should not appear after step using keyword then
linha 130: Step "When I click on dashboard menu "Payments" of "asker"" should not appear after step using keyword then
linha 135: Step "When I click on the element with css selector ".form-radio span.jcf-unchecked"" should not appear after step using keyword then
linha 135: Step name is too long. Length of 73 is longer than the maximum allowed: 70
linha 140: Step "When I click on dashboard menu "Comments" of "asker"" should not appear after step using keyword then
linha 146: Step name is too long. Length of 73 is longer than the maximum allowed: 70
linha 151: Step "When I click on dashboard menu "Profile" of "asker"" should not appear after step using keyword then
linha 157: Step "When I follow "Payment information"" should not appear after step using keyword then
linha 163: Step "When I follow "Contact information"" should not appear after step using keyword then</t>
  </si>
  <si>
    <t>linha 3: Scenario name is too long. Length of 76 is longer than the maximum allowed: 70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"When I fill date range with the following:" should not appear after step using keyword then
linha 8: Wrong indentation for "Step", expected indentation level of 2, but got 4
linha 8: Step name is too long. Length of 89 is longer than the maximum allowed: 70
linha 9: Wrong indentation for "Step", expected indentation level of 2, but got 4
linha 9: Step name is too long. Length of 72 is longer than the maximum allowed: 70
linha 10: Wrong indentation for "Step", expected indentation level of 2, but got 4
linha 11: Wrong indentation for "Step", expected indentation level of 2, but got 4
linha 12: Wrong indentation for "Step", expected indentation level of 2, but got 4
linha 14: Multiple empty lines are not allowed
linha 15: Multiple empty lines are not allowed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"When I select categories "Category2_2"" should not appear after step using keyword then
linha 21: Wrong indentation for "Step", expected indentation level of 2, but got 4
linha 21: Step name is too long. Length of 72 is longer than the maximum allowed: 70
linha 22: Wrong indentation for "Step", expected indentation level of 2, but got 4
linha 23: Wrong indentation for "Step", expected indentation level of 2, but got 4
linha 24: Wrong indentation for "Step", expected indentation level of 2, but got 4
linha 26: Multiple empty lines are not allowed
linha 27: Multiple empty lines are not allowed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32: Step "When I select a characteristic "Characteristic_3" with value "Custom value 2"" should not appear after step using keyword then
linha 32: Step name is too long. Length of 72 is longer than the maximum allowed: 70
linha 33: Wrong indentation for "Step", expected indentation level of 2, but got 4
linha 34: Wrong indentation for "Step", expected indentation level of 2, but got 4
linha 35: Wrong indentation for "Step", expected indentation level of 2, but got 4
linha 37: Multiple empty lines are not allowed
linha 38: Multiple empty lines are not allowed
linha 40: Wrong indentation for "Step", expected indentation level of 2, but got 4
linha 41: Wrong indentation for "Step", expected indentation level of 2, but got 4
linha 42: Wrong indentation for "Step", expected indentation level of 2, but got 4
linha 43: Wrong indentation for "Step", expected indentation level of 2, but got 4
linha 43: Step "When I fill date range with the following:" should not appear after step using keyword then
linha 44: Wrong indentation for "Step", expected indentation level of 2, but got 4
linha 44: Step name is too long. Length of 72 is longer than the maximum allowed: 70
linha 45: Wrong indentation for "Step", expected indentation level of 2, but got 4
linha 46: Wrong indentation for "Step", expected indentation level of 2, but got 4
linha 47: Wrong indentation for "Step", expected indentation level of 2, but got 4
linha 49: Multiple empty lines are not allowed
linha 50: Multiple empty lines are not allowed
linha 52: Wrong indentation for "Step", expected indentation level of 2, but got 4
linha 53: Wrong indentation for "Step", expected indentation level of 2, but got 4
linha 54: Wrong indentation for "Step", expected indentation level of 2, but got 4
linha 55: Wrong indentation for "Step", expected indentation level of 2, but got 4
linha 55: Step "When I fill date range with the following:" should not appear after step using keyword then
linha 56: Wrong indentation for "Step", expected indentation level of 2, but got 4
linha 56: Step name is too long. Length of 90 is longer than the maximum allowed: 70
linha 57: Wrong indentation for "Step", expected indentation level of 2, but got 4
linha 57: Step name is too long. Length of 72 is longer than the maximum allowed: 70
linha 58: Wrong indentation for "Step", expected indentation level of 2, but got 4
linha 59: Wrong indentation for "Step", expected indentation level of 2, but got 4
linha 60: Wrong indentation for "Step", expected indentation level of 2, but got 4
linha 62: Multiple empty lines are not allowed
linha 63: Multiple empty lines are not allowed</t>
  </si>
  <si>
    <t>linha 3: Scenario name is too long. Length of 76 is longer than the maximum allowed: 70
linha 7: Step "When I fill date range with the following:" should not appear after step using keyword then
linha 8: Step name is too long. Length of 89 is longer than the maximum allowed: 70
linha 9: Step name is too long. Length of 72 is longer than the maximum allowed: 70
linha 14: Multiple empty lines are not allowed
linha 15: Multiple empty lines are not allowed
linha 20: Step "When I select categories "Category2_2"" should not appear after step using keyword then
linha 21: Step name is too long. Length of 72 is longer than the maximum allowed: 70
linha 26: Multiple empty lines are not allowed
linha 27: Multiple empty lines are not allowed
linha 32: Step "When I select a characteristic "Characteristic_3" with value "Custom value 2"" should not appear after step using keyword then
linha 32: Step name is too long. Length of 72 is longer than the maximum allowed: 70
linha 37: Multiple empty lines are not allowed
linha 38: Multiple empty lines are not allowed
linha 43: Step "When I fill date range with the following:" should not appear after step using keyword then
linha 44: Step name is too long. Length of 72 is longer than the maximum allowed: 70
linha 49: Multiple empty lines are not allowed
linha 50: Multiple empty lines are not allowed
linha 55: Step "When I fill date range with the following:" should not appear after step using keyword then
linha 56: Step name is too long. Length of 90 is longer than the maximum allowed: 70
linha 57: Step name is too long. Length of 72 is longer than the maximum allowed: 70
linha 62: Multiple empty lines are not allowed
linha 63: Multiple empty lines are not allowed</t>
  </si>
  <si>
    <t>linha 3: Scenario name is too long. Length of 76 is longer than the maximum allowed: 70
linha 7: Step "When I fill date range with the following:" should not appear after step using keyword then
linha 8: Step name is too long. Length of 89 is longer than the maximum allowed: 70
linha 9: Step name is too long. Length of 72 is longer than the maximum allowed: 70
linha 20: Step "When I select categories "Category2_2"" should not appear after step using keyword then
linha 21: Step name is too long. Length of 72 is longer than the maximum allowed: 70
linha 32: Step "When I select a characteristic "Characteristic_3" with value "Custom value 2"" should not appear after step using keyword then
linha 32: Step name is too long. Length of 72 is longer than the maximum allowed: 70
linha 43: Step "When I fill date range with the following:" should not appear after step using keyword then
linha 44: Step name is too long. Length of 72 is longer than the maximum allowed: 70
linha 55: Step "When I fill date range with the following:" should not appear after step using keyword then
linha 56: Step name is too long. Length of 90 is longer than the maximum allowed: 70
linha 57: Step name is too long. Length of 72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</si>
  <si>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11: Step name is too long. Length of 75 is longer than the maximum allowed: 70
linha 12: Wrong indentation for "Step", expected indentation level of 2, but got 4
linha 12: Step "When I wait 2000 ms" should not appear after step using keyword then
linha 13: Wrong indentation for "Step", expected indentation level of 2, but got 4
linha 13: Step name is too long. Length of 97 is longer than the maximum allowed: 70
linha 15: Multiple empty lines are not allowed
linha 16: Multiple empty lines are not allowed
linha 17: Scenario name is too long. Length of 79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22: Step "When I fill in the following:" should not appear after step using keyword then
linha 23: Wrong indentation for "Step", expected indentation level of 2, but got 4
linha 24: Wrong indentation for "Step", expected indentation level of 2, but got 4
linha 24: Step name is too long. Length of 83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29: Step name is too long. Length of 75 is longer than the maximum allowed: 70
linha 29: Step "Then I should be on the page which route name is "dashboard_message_thread_view"" should use And instead of Then
linha 30: Wrong indentation for "Step", expected indentation level of 2, but got 4
linha 30: Step "When I wait 2000 ms" should not appear after step using keyword then
linha 31: Wrong indentation for "Step", expected indentation level of 2, but got 4
linha 31: Step name is too long. Length of 97 is longer than the maximum allowed: 70
linha 33: Multiple empty lines are not allowed
linha 34: Multiple empty lines are not allowed
linha 35: Scenario name is too long. Length of 73 is longer than the maximum allowed: 70
linha 36: Wrong indentation for "Step", expected indentation level of 2, but got 4
linha 36: Step name is too long. Length of 91 is longer than the maximum allowed: 70
linha 37: Wrong indentation for "Step", expected indentation level of 2, but got 4
linha 37: Step name is too long. Length of 72 is longer than the maximum allowed: 70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41: Step "When I follow "Reply"" should not appear after step using keyword then
linha 42: Wrong indentation for "Step", expected indentation level of 2, but got 4
linha 43: Wrong indentation for "Step", expected indentation level of 2, but got 4
linha 43: Step name is too long. Length of 76 is longer than the maximum allowed: 70
linha 45: Multiple empty lines are not allowed
linha 46: Multiple empty lines are not allowed
linha 48: Wrong indentation for "Step", expected indentation level of 2, but got 4
linha 48: Step name is too long. Length of 91 is longer than the maximum allowed: 70
linha 49: Wrong indentation for "Step", expected indentation level of 2, but got 4
linha 49: Step name is too long. Length of 72 is longer than the maximum allowed: 70
linha 50: Wrong indentation for "Step", expected indentation level of 2, but got 4
linha 51: Wrong indentation for "Step", expected indentation level of 2, but got 4
linha 52: Wrong indentation for "Step", expected indentation level of 2, but got 4
linha 53: Wrong indentation for "Step", expected indentation level of 2, but got 4
linha 53: Step "When I follow "Reply"" should not appear after step using keyword then
linha 54: Wrong indentation for "Step", expected indentation level of 2, but got 4
linha 55: Wrong indentation for "Step", expected indentation level of 2, but got 4
linha 56: Wrong indentation for "Step", expected indentation level of 2, but got 4
linha 56: Step name is too long. Length of 75 is longer than the maximum allowed: 70
linha 57: Wrong indentation for "Step", expected indentation level of 2, but got 4
linha 57: Step "When I wait 2000 ms" should not appear after step using keyword then
linha 58: Wrong indentation for "Step", expected indentation level of 2, but got 4
linha 58: Step name is too long. Length of 80 is longer than the maximum allowed: 70
linha 60: Multiple empty lines are not allowed
linha 61: Multiple empty lines are not allowed
linha 63: Wrong indentation for "Step", expected indentation level of 2, but got 4
linha 63: Step name is too long. Length of 91 is longer than the maximum allowed: 70
linha 64: Wrong indentation for "Step", expected indentation level of 2, but got 4
linha 64: Step name is too long. Length of 72 is longer than the maximum allowed: 70
linha 65: Wrong indentation for "Step", expected indentation level of 2, but got 4
linha 66: Wrong indentation for "Step", expected indentation level of 2, but got 4
linha 67: Wrong indentation for "Step", expected indentation level of 2, but got 4
linha 68: Wrong indentation for "Step", expected indentation level of 2, but got 4
linha 68: Step "When I follow "Delete"" should not appear after step using keyword then
linha 69: Wrong indentation for "Step", expected indentation level of 2, but got 4
linha 70: Wrong indentation for "Step", expected indentation level of 2, but got 4
linha 72: Multiple empty lines are not allowed
linha 73: Multiple empty lines are not allowed</t>
  </si>
  <si>
    <t>linha 11: Step name is too long. Length of 75 is longer than the maximum allowed: 70
linha 12: Step "When I wait 2000 ms" should not appear after step using keyword then
linha 13: Step name is too long. Length of 97 is longer than the maximum allowed: 70
linha 15: Multiple empty lines are not allowed
linha 16: Multiple empty lines are not allowed
linha 17: Scenario name is too long. Length of 79 is longer than the maximum allowed: 70
linha 22: Step "When I fill in the following:" should not appear after step using keyword then
linha 24: Step name is too long. Length of 83 is longer than the maximum allowed: 70
linha 29: Step name is too long. Length of 75 is longer than the maximum allowed: 70
linha 29: Step "Then I should be on the page which route name is "dashboard_message_thread_view"" should use And instead of Then
linha 30: Step "When I wait 2000 ms" should not appear after step using keyword then
linha 31: Step name is too long. Length of 97 is longer than the maximum allowed: 70
linha 33: Multiple empty lines are not allowed
linha 34: Multiple empty lines are not allowed
linha 35: Scenario name is too long. Length of 73 is longer than the maximum allowed: 70
linha 36: Step name is too long. Length of 91 is longer than the maximum allowed: 70
linha 37: Step name is too long. Length of 72 is longer than the maximum allowed: 70
linha 41: Step "When I follow "Reply"" should not appear after step using keyword then
linha 43: Step name is too long. Length of 76 is longer than the maximum allowed: 70
linha 45: Multiple empty lines are not allowed
linha 46: Multiple empty lines are not allowed
linha 48: Step name is too long. Length of 91 is longer than the maximum allowed: 70
linha 49: Step name is too long. Length of 72 is longer than the maximum allowed: 70
linha 53: Step "When I follow "Reply"" should not appear after step using keyword then
linha 56: Step name is too long. Length of 75 is longer than the maximum allowed: 70
linha 57: Step "When I wait 2000 ms" should not appear after step using keyword then
linha 58: Step name is too long. Length of 80 is longer than the maximum allowed: 70
linha 60: Multiple empty lines are not allowed
linha 61: Multiple empty lines are not allowed
linha 63: Step name is too long. Length of 91 is longer than the maximum allowed: 70
linha 64: Step name is too long. Length of 72 is longer than the maximum allowed: 70
linha 68: Step "When I follow "Delete"" should not appear after step using keyword then
linha 72: Multiple empty lines are not allowed
linha 73: Multiple empty lines are not allowed</t>
  </si>
  <si>
    <t>linha 11: Step name is too long. Length of 75 is longer than the maximum allowed: 70
linha 12: Step "When I wait 2000 ms" should not appear after step using keyword then
linha 13: Step name is too long. Length of 97 is longer than the maximum allowed: 70
linha 17: Scenario name is too long. Length of 79 is longer than the maximum allowed: 70
linha 22: Step "When I fill in the following:" should not appear after step using keyword then
linha 24: Step name is too long. Length of 83 is longer than the maximum allowed: 70
linha 29: Step name is too long. Length of 75 is longer than the maximum allowed: 70
linha 29: Step "Then I should be on the page which route name is "dashboard_message_thread_view"" should use And instead of Then
linha 30: Step "When I wait 2000 ms" should not appear after step using keyword then
linha 31: Step name is too long. Length of 97 is longer than the maximum allowed: 70
linha 35: Scenario name is too long. Length of 73 is longer than the maximum allowed: 70
linha 36: Step name is too long. Length of 91 is longer than the maximum allowed: 70
linha 37: Step name is too long. Length of 72 is longer than the maximum allowed: 70
linha 41: Step "When I follow "Reply"" should not appear after step using keyword then
linha 43: Step name is too long. Length of 76 is longer than the maximum allowed: 70
linha 48: Step name is too long. Length of 91 is longer than the maximum allowed: 70
linha 49: Step name is too long. Length of 72 is longer than the maximum allowed: 70
linha 53: Step "When I follow "Reply"" should not appear after step using keyword then
linha 56: Step name is too long. Length of 75 is longer than the maximum allowed: 70
linha 57: Step "When I wait 2000 ms" should not appear after step using keyword then
linha 58: Step name is too long. Length of 80 is longer than the maximum allowed: 70
linha 63: Step name is too long. Length of 91 is longer than the maximum allowed: 70
linha 64: Step name is too long. Length of 72 is longer than the maximum allowed: 70
linha 68: Step "When I follow "Delete"" should not appear after step using keyword then</t>
  </si>
  <si>
    <t>linha 4: Wrong indentation for "Step", expected indentation level of 2, but got 4
linha 4: Step name is too long. Length of 72 is longer than the maximum allowed: 70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8: Step name is too long. Length of 75 is longer than the maximum allowed: 70
linha 9: Wrong indentation for "Step", expected indentation level of 2, but got 4
linha 9: Step "When I follow "Add your rating"" should not appear after step using keyword then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17: Multiple empty lines are not allowed
linha 18: Multiple empty lines are not allowed
linha 19: Scenario name is too long. Length of 91 is longer than the maximum allowed: 70
linha 19: Element Scenario too long: actual 26, expected 15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24: Step name is too long. Length of 75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27: Step "When I click on the element with css selector "#user-rating-make a"" should not appear after step using keyword then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32: Step "When I do a search on the home page" should not appear after step using keyword then
linha 33: Wrong indentation for "Step", expected indentation level of 2, but got 4
linha 34: Wrong indentation for "Step", expected indentation level of 2, but got 4
linha 35: Wrong indentation for "Step", expected indentation level of 2, but got 4
linha 35: Step name is too long. Length of 83 is longer than the maximum allowed: 70
linha 36: Wrong indentation for "Step", expected indentation level of 2, but got 4
linha 36: Step "When I click on "#comments" tab" should not appear after step using keyword then
linha 37: Wrong indentation for "Step", expected indentation level of 2, but got 4
linha 38: Wrong indentation for "Step", expected indentation level of 2, but got 4
linha 38: Step name is too long. Length of 73 is longer than the maximum allowed: 70
linha 39: Wrong indentation for "Step", expected indentation level of 2, but got 4
linha 39: Step "When I follow "OffererFirstName"" should not appear after step using keyword then
linha 40: Wrong indentation for "Step", expected indentation level of 2, but got 4
linha 41: Wrong indentation for "Step", expected indentation level of 2, but got 4
linha 41: Step name is too long. Length of 91 is longer than the maximum allowed: 70
linha 42: Wrong indentation for "Step", expected indentation level of 2, but got 4
linha 43: Wrong indentation for "Step", expected indentation level of 2, but got 4
linha 44: Wrong indentation for "Step", expected indentation level of 2, but got 4
linha 45: Wrong indentation for "Step", expected indentation level of 2, but got 4
linha 45: Step name is too long. Length of 73 is longer than the maximum allowed: 70
linha 47: Multiple empty lines are not allowed
linha 48: Multiple empty lines are not allowed
linha 50: Wrong indentation for "Step", expected indentation level of 2, but got 4
linha 50: Step name is too long. Length of 72 is longer than the maximum allowed: 70
linha 51: Wrong indentation for "Step", expected indentation level of 2, but got 4
linha 52: Wrong indentation for "Step", expected indentation level of 2, but got 4
linha 53: Wrong indentation for "Step", expected indentation level of 2, but got 4
linha 54: Wrong indentation for "Step", expected indentation level of 2, but got 4
linha 54: Step name is too long. Length of 75 is longer than the maximum allowed: 70
linha 55: Wrong indentation for "Step", expected indentation level of 2, but got 4
linha 55: Step "When I follow "Add your rating"" should not appear after step using keyword then
linha 56: Wrong indentation for "Step", expected indentation level of 2, but got 4
linha 57: Wrong indentation for "Step", expected indentation level of 2, but got 4
linha 58: Wrong indentation for "Step", expected indentation level of 2, but got 4
linha 58: Step name is too long. Length of 76 is longer than the maximum allowed: 70
linha 60: Multiple empty lines are not allowed
linha 61: Multiple empty lines are not allowed</t>
  </si>
  <si>
    <t>linha 4: Step name is too long. Length of 72 is longer than the maximum allowed: 70
linha 8: Step name is too long. Length of 75 is longer than the maximum allowed: 70
linha 9: Step "When I follow "Add your rating"" should not appear after step using keyword then
linha 17: Multiple empty lines are not allowed
linha 18: Multiple empty lines are not allowed
linha 19: Scenario name is too long. Length of 91 is longer than the maximum allowed: 70
linha 19: Element Scenario too long: actual 26, expected 15
linha 24: Step name is too long. Length of 75 is longer than the maximum allowed: 70
linha 27: Step "When I click on the element with css selector "#user-rating-make a"" should not appear after step using keyword then
linha 32: Step "When I do a search on the home page" should not appear after step using keyword then
linha 35: Step name is too long. Length of 83 is longer than the maximum allowed: 70
linha 36: Step "When I click on "#comments" tab" should not appear after step using keyword then
linha 38: Step name is too long. Length of 73 is longer than the maximum allowed: 70
linha 39: Step "When I follow "OffererFirstName"" should not appear after step using keyword then
linha 41: Step name is too long. Length of 91 is longer than the maximum allowed: 70
linha 45: Step name is too long. Length of 73 is longer than the maximum allowed: 70
linha 47: Multiple empty lines are not allowed
linha 48: Multiple empty lines are not allowed
linha 50: Step name is too long. Length of 72 is longer than the maximum allowed: 70
linha 54: Step name is too long. Length of 75 is longer than the maximum allowed: 70
linha 55: Step "When I follow "Add your rating"" should not appear after step using keyword then
linha 58: Step name is too long. Length of 76 is longer than the maximum allowed: 70
linha 60: Multiple empty lines are not allowed
linha 61: Multiple empty lines are not allowed</t>
  </si>
  <si>
    <t>linha 4: Step name is too long. Length of 72 is longer than the maximum allowed: 70
linha 8: Step name is too long. Length of 75 is longer than the maximum allowed: 70
linha 9: Step "When I follow "Add your rating"" should not appear after step using keyword then
linha 19: Scenario name is too long. Length of 91 is longer than the maximum allowed: 70
linha 19: Element Scenario too long: actual 26, expected 15
linha 24: Step name is too long. Length of 75 is longer than the maximum allowed: 70
linha 27: Step "When I click on the element with css selector "#user-rating-make a"" should not appear after step using keyword then
linha 32: Step "When I do a search on the home page" should not appear after step using keyword then
linha 35: Step name is too long. Length of 83 is longer than the maximum allowed: 70
linha 36: Step "When I click on "#comments" tab" should not appear after step using keyword then
linha 38: Step name is too long. Length of 73 is longer than the maximum allowed: 70
linha 39: Step "When I follow "OffererFirstName"" should not appear after step using keyword then
linha 41: Step name is too long. Length of 91 is longer than the maximum allowed: 70
linha 45: Step name is too long. Length of 73 is longer than the maximum allowed: 70
linha 50: Step name is too long. Length of 72 is longer than the maximum allowed: 70
linha 54: Step name is too long. Length of 75 is longer than the maximum allowed: 70
linha 55: Step "When I follow "Add your rating"" should not appear after step using keyword then
linha 58: Step name is too long. Length of 76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</si>
  <si>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8: Step "Then the price rule should be valid for product "Shoe 2"" should use And instead of Then
linha 10: Multiple empty lines are not allowed
linha 11: Multiple empty lines are not allowed
linha 13: Wrong indentation for "Step", expected indentation level of 2, but got 4
linha 14: Wrong indentation for "Step", expected indentation level of 2, but got 4
linha 14: Step "Given adding a product price rule named "country-discount"" should use And instead of Given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"Then the price rule should be invalid for product "Shoe 2"" should use And instead of Then
linha 20: Multiple empty lines are not allowed
linha 21: Multiple empty lines are not allowed</t>
  </si>
  <si>
    <t>linha 8: Step "Then the price rule should be valid for product "Shoe 2"" should use And instead of Then
linha 10: Multiple empty lines are not allowed
linha 11: Multiple empty lines are not allowed
linha 14: Step "Given adding a product price rule named "country-discount"" should use And instead of Given
linha 18: Step "Then the price rule should be invalid for product "Shoe 2"" should use And instead of Then
linha 20: Multiple empty lines are not allowed
linha 21: Multiple empty lines are not allowed</t>
  </si>
  <si>
    <t>linha 8: Step "Then the price rule should be valid for product "Shoe 2"" should use And instead of Then
linha 14: Step "Given adding a product price rule named "country-discount"" should use And instead of Given
linha 18: Step "Then the price rule should be invalid for product "Shoe 2"" should use And instead of Then</t>
  </si>
  <si>
    <t>linha 1: Feature name is too long. Length of 83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11: Step "Then the cart discount should be "-8333" excluding tax" should use And instead of Then
linha 12: Wrong indentation for "Step", expected indentation level of 2, but got 4
linha 12: Step "Then the cart total tax should be "0"" should use And instead of Then
linha 13: Wrong indentation for "Step", expected indentation level of 2, but got 4
linha 13: Step "Then the cart total should be "0" excluding tax" should use And instead of Then
linha 14: Wrong indentation for "Step", expected indentation level of 2, but got 4
linha 14: Step "Then the cart total should be "0" including tax" should use And instead of Then
linha 16: Multiple empty lines are not allowed
linha 17: Multiple empty lines are not allowed</t>
  </si>
  <si>
    <t>linha 1: Feature name is too long. Length of 83 is longer than the maximum allowed: 50
linha 11: Step "Then the cart discount should be "-8333" excluding tax" should use And instead of Then
linha 12: Step "Then the cart total tax should be "0"" should use And instead of Then
linha 13: Step "Then the cart total should be "0" excluding tax" should use And instead of Then
linha 14: Step "Then the cart total should be "0" including tax" should use And instead of Then
linha 16: Multiple empty lines are not allowed
linha 17: Multiple empty lines are not allowed</t>
  </si>
  <si>
    <t>linha 1: Feature name is too long. Length of 83 is longer than the maximum allowed: 50
linha 11: Step "Then the cart discount should be "-8333" excluding tax" should use And instead of Then
linha 12: Step "Then the cart total tax should be "0"" should use And instead of Then
linha 13: Step "Then the cart total should be "0" excluding tax" should use And instead of Then
linha 14: Step "Then the cart total should be "0" including tax" should use And instead of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</si>
  <si>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11: Step "Then the cart total should be "9000" including tax" should use And instead of Then
linha 13: Multiple empty lines are not allowed
linha 14: Multiple empty lines are not allowed</t>
  </si>
  <si>
    <t>linha 11: Step "Then the cart total should be "9000" including tax" should use And instead of Then
linha 13: Multiple empty lines are not allowed
linha 14: Multiple empty lines are not allowed</t>
  </si>
  <si>
    <t>linha 11: Step "Then the cart total should be "9000" including tax" should use And instead of Then</t>
  </si>
  <si>
    <t>linha 1: Feature name is too long. Length of 56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10: Step "Then the cart total should be "10000" including tax" should use And instead of Then
linha 12: Multiple empty lines are not allowed
linha 13: Multiple empty lines are not allowed</t>
  </si>
  <si>
    <t>linha 1: Feature name is too long. Length of 56 is longer than the maximum allowed: 50
linha 10: Step "Then the cart total should be "10000" including tax" should use And instead of Then
linha 12: Multiple empty lines are not allowed
linha 13: Multiple empty lines are not allowed</t>
  </si>
  <si>
    <t>linha 1: Feature name is too long. Length of 56 is longer than the maximum allowed: 50
linha 10: Step "Then the cart total should be "10000" including tax" should use And instead of Then</t>
  </si>
  <si>
    <t>linha 3: Element Scenario too long: actual 16, expected 15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22: Multiple empty lines are not allowed
linha 23: Multiple empty lines are not allowed
linha 24: Element Scenario too long: actual 17, expected 15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
linha 44: Multiple empty lines are not allowed
linha 45: Multiple empty lines are not allowed</t>
  </si>
  <si>
    <t>linha 3: Element Scenario too long: actual 16, expected 15
linha 22: Multiple empty lines are not allowed
linha 23: Multiple empty lines are not allowed
linha 24: Element Scenario too long: actual 17, expected 15
linha 44: Multiple empty lines are not allowed
linha 45: Multiple empty lines are not allowed</t>
  </si>
  <si>
    <t>linha 3: Element Scenario too long: actual 16, expected 15
linha 24: Element Scenario too long: actual 17, expected 15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</si>
  <si>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9: Step name is too long. Length of 108 is longer than the maximum allowed: 70
linha 11: Multiple empty lines are not allowed
linha 12: Multiple empty lines are not allowed
linha 13: Element Scenario too long: actual 19, expected 15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23: Step "When I click edit on location form" should not appear after step using keyword then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35: Multiple empty lines are not allowed
linha 36: Multiple empty lines are not allowed</t>
  </si>
  <si>
    <t>linha 9: Step name is too long. Length of 108 is longer than the maximum allowed: 70
linha 11: Multiple empty lines are not allowed
linha 12: Multiple empty lines are not allowed
linha 13: Element Scenario too long: actual 19, expected 15
linha 23: Step "When I click edit on location form" should not appear after step using keyword then
linha 35: Multiple empty lines are not allowed
linha 36: Multiple empty lines are not allowed</t>
  </si>
  <si>
    <t>linha 9: Step name is too long. Length of 108 is longer than the maximum allowed: 70
linha 13: Element Scenario too long: actual 19, expected 15
linha 23: Step "When I click edit on location form" should not appear after step using keyword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</si>
  <si>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10: Multiple empty lines are not allowed
linha 11: Multiple empty lines are not allowed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19: Multiple empty lines are not allowed
linha 20: Multiple empty lines are not allowed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28: Multiple empty lines are not allowed
linha 29: Multiple empty lines are not allowed
linha 31: Wrong indentation for "Step", expected indentation level of 2, but got 4
linha 32: Wrong indentation for "Step", expected indentation level of 2, but got 4
linha 33: Wrong indentation for "Step", expected indentation level of 2, but got 4
linha 35: Multiple empty lines are not allowed
linha 36: Multiple empty lines are not allowed</t>
  </si>
  <si>
    <t>linha 10: Multiple empty lines are not allowed
linha 11: Multiple empty lines are not allowed
linha 19: Multiple empty lines are not allowed
linha 20: Multiple empty lines are not allowed
linha 28: Multiple empty lines are not allowed
linha 29: Multiple empty lines are not allowed
linha 35: Multiple empty lines are not allowed
linha 36: Multiple empty lines are not allowed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</si>
  <si>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11: Multiple empty lines are not allowed
linha 12: Multiple empty lines are not allowed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26: Multiple empty lines are not allowed
linha 27: Multiple empty lines are not allowed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
linha 43: Wrong indentation for "Step", expected indentation level of 2, but got 4
linha 45: Multiple empty lines are not allowed
linha 46: Multiple empty lines are not allowed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53: Wrong indentation for "Step", expected indentation level of 2, but got 4
linha 54: Wrong indentation for "Step", expected indentation level of 2, but got 4
linha 55: Wrong indentation for "Step", expected indentation level of 2, but got 4
linha 55: Step name is too long. Length of 79 is longer than the maximum allowed: 70
linha 56: Wrong indentation for "Step", expected indentation level of 2, but got 4
linha 56: Step name is too long. Length of 71 is longer than the maximum allowed: 70
linha 58: Multiple empty lines are not allowed
linha 59: Multiple empty lines are not allowed
linha 61: Wrong indentation for "Step", expected indentation level of 2, but got 4
linha 62: Wrong indentation for "Step", expected indentation level of 2, but got 4
linha 63: Wrong indentation for "Step", expected indentation level of 2, but got 4
linha 64: Wrong indentation for "Step", expected indentation level of 2, but got 4
linha 65: Wrong indentation for "Step", expected indentation level of 2, but got 4
linha 65: Step "When I remove logo from organization" should not appear after step using keyword then
linha 66: Wrong indentation for "Step", expected indentation level of 2, but got 4
linha 67: Wrong indentation for "Step", expected indentation level of 2, but got 4
linha 68: Wrong indentation for "Step", expected indentation level of 2, but got 4
linha 69: Wrong indentation for "Step", expected indentation level of 2, but got 4
linha 70: Wrong indentation for "Step", expected indentation level of 2, but got 4
linha 72: Multiple empty lines are not allowed
linha 73: Multiple empty lines are not allowed</t>
  </si>
  <si>
    <t>linha 11: Multiple empty lines are not allowed
linha 12: Multiple empty lines are not allowed
linha 26: Multiple empty lines are not allowed
linha 27: Multiple empty lines are not allowed
linha 45: Multiple empty lines are not allowed
linha 46: Multiple empty lines are not allowed
linha 55: Step name is too long. Length of 79 is longer than the maximum allowed: 70
linha 56: Step name is too long. Length of 71 is longer than the maximum allowed: 70
linha 58: Multiple empty lines are not allowed
linha 59: Multiple empty lines are not allowed
linha 65: Step "When I remove logo from organization" should not appear after step using keyword then
linha 72: Multiple empty lines are not allowed
linha 73: Multiple empty lines are not allowed</t>
  </si>
  <si>
    <t>linha 55: Step name is too long. Length of 79 is longer than the maximum allowed: 70
linha 56: Step name is too long. Length of 71 is longer than the maximum allowed: 70
linha 65: Step "When I remove logo from organization" should not appear after step using keyword then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</si>
  <si>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11: Multiple empty lines are not allowed
linha 12: Multiple empty lines are not allowed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20: Multiple empty lines are not allowed
linha 21: Multiple empty lines are not allowed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30: Multiple empty lines are not allowed
linha 31: Multiple empty lines are not allowed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40: Multiple empty lines are not allowed
linha 41: Multiple empty lines are not allowed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48: Wrong indentation for "Step", expected indentation level of 2, but got 4
linha 50: Multiple empty lines are not allowed
linha 51: Multiple empty lines are not allowed
linha 54: Wrong indentation for "Step", expected indentation level of 2, but got 4
linha 55: Wrong indentation for "Step", expected indentation level of 2, but got 4
linha 56: Wrong indentation for "Step", expected indentation level of 2, but got 4
linha 57: Wrong indentation for "Step", expected indentation level of 2, but got 4
linha 58: Wrong indentation for "Step", expected indentation level of 2, but got 4
linha 60: Multiple empty lines are not allowed
linha 61: Multiple empty lines are not allowed
linha 64: Wrong indentation for "Step", expected indentation level of 2, but got 4
linha 65: Wrong indentation for "Step", expected indentation level of 2, but got 4
linha 66: Wrong indentation for "Step", expected indentation level of 2, but got 4
linha 67: Wrong indentation for "Step", expected indentation level of 2, but got 4
linha 68: Wrong indentation for "Step", expected indentation level of 2, but got 4
linha 70: Multiple empty lines are not allowed
linha 71: Multiple empty lines are not allowed
linha 74: Wrong indentation for "Step", expected indentation level of 2, but got 4
linha 75: Wrong indentation for "Step", expected indentation level of 2, but got 4
linha 76: Wrong indentation for "Step", expected indentation level of 2, but got 4
linha 77: Wrong indentation for "Step", expected indentation level of 2, but got 4
linha 78: Wrong indentation for "Step", expected indentation level of 2, but got 4
linha 80: Multiple empty lines are not allowed
linha 81: Multiple empty lines are not allowed
linha 84: Wrong indentation for "Step", expected indentation level of 2, but got 4
linha 85: Wrong indentation for "Step", expected indentation level of 2, but got 4
linha 86: Wrong indentation for "Step", expected indentation level of 2, but got 4
linha 87: Wrong indentation for "Step", expected indentation level of 2, but got 4
linha 88: Wrong indentation for "Step", expected indentation level of 2, but got 4
linha 90: Multiple empty lines are not allowed
linha 91: Multiple empty lines are not allowed
linha 94: Wrong indentation for "Step", expected indentation level of 2, but got 4
linha 95: Wrong indentation for "Step", expected indentation level of 2, but got 4
linha 96: Wrong indentation for "Step", expected indentation level of 2, but got 4
linha 96: Step name is too long. Length of 157 is longer than the maximum allowed: 70
linha 97: Wrong indentation for "Step", expected indentation level of 2, but got 4
linha 98: Wrong indentation for "Step", expected indentation level of 2, but got 4
linha 100: Multiple empty lines are not allowed
linha 101: Multiple empty lines are not allowed
linha 104: Wrong indentation for "Step", expected indentation level of 2, but got 4
linha 105: Wrong indentation for "Step", expected indentation level of 2, but got 4
linha 106: Wrong indentation for "Step", expected indentation level of 2, but got 4
linha 107: Wrong indentation for "Step", expected indentation level of 2, but got 4
linha 108: Wrong indentation for "Step", expected indentation level of 2, but got 4
linha 110: Multiple empty lines are not allowed
linha 111: Multiple empty lines are not allowed
linha 114: Wrong indentation for "Step", expected indentation level of 2, but got 4
linha 115: Wrong indentation for "Step", expected indentation level of 2, but got 4
linha 116: Wrong indentation for "Step", expected indentation level of 2, but got 4
linha 116: Step name is too long. Length of 154 is longer than the maximum allowed: 70
linha 117: Wrong indentation for "Step", expected indentation level of 2, but got 4
linha 118: Wrong indentation for "Step", expected indentation level of 2, but got 4
linha 120: Multiple empty lines are not allowed
linha 121: Multiple empty lines are not allowed
linha 124: Wrong indentation for "Step", expected indentation level of 2, but got 4
linha 125: Wrong indentation for "Step", expected indentation level of 2, but got 4
linha 126: Wrong indentation for "Step", expected indentation level of 2, but got 4
linha 127: Wrong indentation for "Step", expected indentation level of 2, but got 4
linha 129: Multiple empty lines are not allowed
linha 130: Multiple empty lines are not allowed
linha 131: Scenario name is too long. Length of 75 is longer than the maximum allowed: 70
linha 133: Wrong indentation for "Step", expected indentation level of 2, but got 4
linha 134: Wrong indentation for "Step", expected indentation level of 2, but got 4
linha 134: Step name is too long. Length of 394 is longer than the maximum allowed: 70
linha 135: Wrong indentation for "Step", expected indentation level of 2, but got 4
linha 136: Wrong indentation for "Step", expected indentation level of 2, but got 4
linha 138: Multiple empty lines are not allowed
linha 139: Multiple empty lines are not allowed
linha 142: Wrong indentation for "Step", expected indentation level of 2, but got 4
linha 143: Wrong indentation for "Step", expected indentation level of 2, but got 4
linha 143: Step name is too long. Length of 297 is longer than the maximum allowed: 70
linha 144: Wrong indentation for "Step", expected indentation level of 2, but got 4
linha 145: Wrong indentation for "Step", expected indentation level of 2, but got 4
linha 147: Multiple empty lines are not allowed
linha 148: Multiple empty lines are not allowed
linha 151: Wrong indentation for "Step", expected indentation level of 2, but got 4
linha 152: Wrong indentation for "Step", expected indentation level of 2, but got 4
linha 153: Wrong indentation for "Step", expected indentation level of 2, but got 4
linha 154: Wrong indentation for "Step", expected indentation level of 2, but got 4
linha 156: Multiple empty lines are not allowed
linha 157: Multiple empty lines are not allowed
linha 158: Scenario name is too long. Length of 72 is longer than the maximum allowed: 70
linha 160: Wrong indentation for "Step", expected indentation level of 2, but got 4
linha 161: Wrong indentation for "Step", expected indentation level of 2, but got 4
linha 161: Step name is too long. Length of 468 is longer than the maximum allowed: 70
linha 162: Wrong indentation for "Step", expected indentation level of 2, but got 4
linha 163: Wrong indentation for "Step", expected indentation level of 2, but got 4
linha 165: Multiple empty lines are not allowed
linha 166: Multiple empty lines are not allowed
linha 169: Wrong indentation for "Step", expected indentation level of 2, but got 4
linha 170: Wrong indentation for "Step", expected indentation level of 2, but got 4
linha 170: Step name is too long. Length of 389 is longer than the maximum allowed: 70
linha 171: Wrong indentation for "Step", expected indentation level of 2, but got 4
linha 172: Wrong indentation for "Step", expected indentation level of 2, but got 4
linha 174: Multiple empty lines are not allowed
linha 175: Multiple empty lines are not allowed
linha 178: Wrong indentation for "Step", expected indentation level of 2, but got 4
linha 179: Wrong indentation for "Step", expected indentation level of 2, but got 4
linha 179: Step name is too long. Length of 468 is longer than the maximum allowed: 70
linha 180: Wrong indentation for "Step", expected indentation level of 2, but got 4
linha 181: Wrong indentation for "Step", expected indentation level of 2, but got 4
linha 183: Multiple empty lines are not allowed
linha 184: Multiple empty lines are not allowed
linha 185: Scenario name is too long. Length of 74 is longer than the maximum allowed: 70
linha 187: Wrong indentation for "Step", expected indentation level of 2, but got 4
linha 188: Wrong indentation for "Step", expected indentation level of 2, but got 4
linha 188: Step name is too long. Length of 468 is longer than the maximum allowed: 70
linha 189: Wrong indentation for "Step", expected indentation level of 2, but got 4
linha 190: Wrong indentation for "Step", expected indentation level of 2, but got 4
linha 192: Multiple empty lines are not allowed
linha 193: Multiple empty lines are not allowed
linha 196: Wrong indentation for "Step", expected indentation level of 2, but got 4
linha 197: Wrong indentation for "Step", expected indentation level of 2, but got 4
linha 197: Step name is too long. Length of 468 is longer than the maximum allowed: 70
linha 198: Wrong indentation for "Step", expected indentation level of 2, but got 4
linha 199: Wrong indentation for "Step", expected indentation level of 2, but got 4
linha 201: Multiple empty lines are not allowed
linha 202: Multiple empty lines are not allowed</t>
  </si>
  <si>
    <t>linha 11: Multiple empty lines are not allowed
linha 12: Multiple empty lines are not allowed
linha 20: Multiple empty lines are not allowed
linha 21: Multiple empty lines are not allowed
linha 30: Multiple empty lines are not allowed
linha 31: Multiple empty lines are not allowed
linha 40: Multiple empty lines are not allowed
linha 41: Multiple empty lines are not allowed
linha 50: Multiple empty lines are not allowed
linha 51: Multiple empty lines are not allowed
linha 60: Multiple empty lines are not allowed
linha 61: Multiple empty lines are not allowed
linha 70: Multiple empty lines are not allowed
linha 71: Multiple empty lines are not allowed
linha 80: Multiple empty lines are not allowed
linha 81: Multiple empty lines are not allowed
linha 90: Multiple empty lines are not allowed
linha 91: Multiple empty lines are not allowed
linha 96: Step name is too long. Length of 157 is longer than the maximum allowed: 70
linha 100: Multiple empty lines are not allowed
linha 101: Multiple empty lines are not allowed
linha 110: Multiple empty lines are not allowed
linha 111: Multiple empty lines are not allowed
linha 116: Step name is too long. Length of 154 is longer than the maximum allowed: 70
linha 120: Multiple empty lines are not allowed
linha 121: Multiple empty lines are not allowed
linha 129: Multiple empty lines are not allowed
linha 130: Multiple empty lines are not allowed
linha 131: Scenario name is too long. Length of 75 is longer than the maximum allowed: 70
linha 134: Step name is too long. Length of 394 is longer than the maximum allowed: 70
linha 138: Multiple empty lines are not allowed
linha 139: Multiple empty lines are not allowed
linha 143: Step name is too long. Length of 297 is longer than the maximum allowed: 70
linha 147: Multiple empty lines are not allowed
linha 148: Multiple empty lines are not allowed
linha 156: Multiple empty lines are not allowed
linha 157: Multiple empty lines are not allowed
linha 158: Scenario name is too long. Length of 72 is longer than the maximum allowed: 70
linha 161: Step name is too long. Length of 468 is longer than the maximum allowed: 70
linha 165: Multiple empty lines are not allowed
linha 166: Multiple empty lines are not allowed
linha 170: Step name is too long. Length of 389 is longer than the maximum allowed: 70
linha 174: Multiple empty lines are not allowed
linha 175: Multiple empty lines are not allowed
linha 179: Step name is too long. Length of 468 is longer than the maximum allowed: 70
linha 183: Multiple empty lines are not allowed
linha 184: Multiple empty lines are not allowed
linha 185: Scenario name is too long. Length of 74 is longer than the maximum allowed: 70
linha 188: Step name is too long. Length of 468 is longer than the maximum allowed: 70
linha 192: Multiple empty lines are not allowed
linha 193: Multiple empty lines are not allowed
linha 197: Step name is too long. Length of 468 is longer than the maximum allowed: 70
linha 201: Multiple empty lines are not allowed
linha 202: Multiple empty lines are not allowed</t>
  </si>
  <si>
    <t>linha 96: Step name is too long. Length of 157 is longer than the maximum allowed: 70
linha 116: Step name is too long. Length of 154 is longer than the maximum allowed: 70
linha 131: Scenario name is too long. Length of 75 is longer than the maximum allowed: 70
linha 134: Step name is too long. Length of 394 is longer than the maximum allowed: 70
linha 143: Step name is too long. Length of 297 is longer than the maximum allowed: 70
linha 158: Scenario name is too long. Length of 72 is longer than the maximum allowed: 70
linha 161: Step name is too long. Length of 468 is longer than the maximum allowed: 70
linha 170: Step name is too long. Length of 389 is longer than the maximum allowed: 70
linha 179: Step name is too long. Length of 468 is longer than the maximum allowed: 70
linha 185: Scenario name is too long. Length of 74 is longer than the maximum allowed: 70
linha 188: Step name is too long. Length of 468 is longer than the maximum allowed: 70
linha 197: Step name is too long. Length of 468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</si>
  <si>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9: Multiple empty lines are not allowed
linha 10: Multiple empty lines are not allowed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18: Multiple empty lines are not allowed
linha 19: Multiple empty lines are not allowed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28: Multiple empty lines are not allowed
linha 29: Multiple empty lines are not allowed
linha 30: Scenario name is too long. Length of 74 is longer than the maximum allowed: 70
linha 32: Wrong indentation for "Step", expected indentation level of 2, but got 4
linha 33: Wrong indentation for "Step", expected indentation level of 2, but got 4
linha 33: Step name is too long. Length of 599 is longer than the maximum allowed: 70
linha 34: Wrong indentation for "Step", expected indentation level of 2, but got 4
linha 35: Wrong indentation for "Step", expected indentation level of 2, but got 4
linha 37: Multiple empty lines are not allowed
linha 38: Multiple empty lines are not allowed
linha 39: Scenario name is too long. Length of 71 is longer than the maximum allowed: 70
linha 41: Wrong indentation for "Step", expected indentation level of 2, but got 4
linha 42: Wrong indentation for "Step", expected indentation level of 2, but got 4
linha 42: Step name is too long. Length of 599 is longer than the maximum allowed: 70
linha 43: Wrong indentation for "Step", expected indentation level of 2, but got 4
linha 44: Wrong indentation for "Step", expected indentation level of 2, but got 4
linha 46: Multiple empty lines are not allowed
linha 47: Multiple empty lines are not allowed
linha 50: Wrong indentation for "Step", expected indentation level of 2, but got 4
linha 51: Wrong indentation for "Step", expected indentation level of 2, but got 4
linha 51: Step name is too long. Length of 172 is longer than the maximum allowed: 70
linha 52: Wrong indentation for "Step", expected indentation level of 2, but got 4
linha 53: Wrong indentation for "Step", expected indentation level of 2, but got 4
linha 54: Wrong indentation for "Step", expected indentation level of 2, but got 4
linha 55: Wrong indentation for "Step", expected indentation level of 2, but got 4
linha 55: Step name is too long. Length of 117 is longer than the maximum allowed: 70
linha 57: Multiple empty lines are not allowed
linha 58: Multiple empty lines are not allowed
linha 59: Scenario name is too long. Length of 83 is longer than the maximum allowed: 70
linha 61: Wrong indentation for "Step", expected indentation level of 2, but got 4
linha 62: Wrong indentation for "Step", expected indentation level of 2, but got 4
linha 62: Step name is too long. Length of 208 is longer than the maximum allowed: 70
linha 63: Wrong indentation for "Step", expected indentation level of 2, but got 4
linha 64: Wrong indentation for "Step", expected indentation level of 2, but got 4
linha 65: Wrong indentation for "Step", expected indentation level of 2, but got 4
linha 66: Wrong indentation for "Step", expected indentation level of 2, but got 4
linha 66: Step name is too long. Length of 117 is longer than the maximum allowed: 70
linha 67: Wrong indentation for "Step", expected indentation level of 2, but got 4
linha 67: Step name is too long. Length of 74 is longer than the maximum allowed: 70
linha 69: Multiple empty lines are not allowed
linha 70: Multiple empty lines are not allowed
linha 71: Scenario name is too long. Length of 105 is longer than the maximum allowed: 70
linha 73: Wrong indentation for "Step", expected indentation level of 2, but got 4
linha 74: Wrong indentation for "Step", expected indentation level of 2, but got 4
linha 74: Step name is too long. Length of 216 is longer than the maximum allowed: 70
linha 75: Wrong indentation for "Step", expected indentation level of 2, but got 4
linha 76: Wrong indentation for "Step", expected indentation level of 2, but got 4
linha 77: Wrong indentation for "Step", expected indentation level of 2, but got 4
linha 78: Wrong indentation for "Step", expected indentation level of 2, but got 4
linha 78: Step name is too long. Length of 117 is longer than the maximum allowed: 70
linha 79: Wrong indentation for "Step", expected indentation level of 2, but got 4
linha 79: Step name is too long. Length of 82 is longer than the maximum allowed: 70
linha 81: Multiple empty lines are not allowed
linha 82: Multiple empty lines are not allowed
linha 83: Scenario name is too long. Length of 83 is longer than the maximum allowed: 70
linha 85: Wrong indentation for "Step", expected indentation level of 2, but got 4
linha 86: Wrong indentation for "Step", expected indentation level of 2, but got 4
linha 86: Step name is too long. Length of 234 is longer than the maximum allowed: 70
linha 87: Wrong indentation for "Step", expected indentation level of 2, but got 4
linha 88: Wrong indentation for "Step", expected indentation level of 2, but got 4
linha 89: Wrong indentation for "Step", expected indentation level of 2, but got 4
linha 90: Wrong indentation for "Step", expected indentation level of 2, but got 4
linha 90: Step name is too long. Length of 117 is longer than the maximum allowed: 70
linha 91: Wrong indentation for "Step", expected indentation level of 2, but got 4
linha 93: Multiple empty lines are not allowed
linha 94: Multiple empty lines are not allowed
linha 95: Scenario name is too long. Length of 133 is longer than the maximum allowed: 70
linha 97: Wrong indentation for "Step", expected indentation level of 2, but got 4
linha 98: Wrong indentation for "Step", expected indentation level of 2, but got 4
linha 98: Step name is too long. Length of 235 is longer than the maximum allowed: 70
linha 99: Wrong indentation for "Step", expected indentation level of 2, but got 4
linha 100: Wrong indentation for "Step", expected indentation level of 2, but got 4
linha 102: Multiple empty lines are not allowed
linha 103: Multiple empty lines are not allowed
linha 104: Scenario name is too long. Length of 98 is longer than the maximum allowed: 70
linha 106: Wrong indentation for "Step", expected indentation level of 2, but got 4
linha 107: Wrong indentation for "Step", expected indentation level of 2, but got 4
linha 107: Step name is too long. Length of 209 is longer than the maximum allowed: 70
linha 108: Wrong indentation for "Step", expected indentation level of 2, but got 4
linha 109: Wrong indentation for "Step", expected indentation level of 2, but got 4
linha 110: Wrong indentation for "Step", expected indentation level of 2, but got 4
linha 111: Wrong indentation for "Step", expected indentation level of 2, but got 4
linha 111: Step name is too long. Length of 117 is longer than the maximum allowed: 70
linha 112: Wrong indentation for "Step", expected indentation level of 2, but got 4
linha 112: Step name is too long. Length of 75 is longer than the maximum allowed: 70
linha 114: Multiple empty lines are not allowed
linha 115: Multiple empty lines are not allowed
linha 116: Scenario name is too long. Length of 102 is longer than the maximum allowed: 70
linha 118: Wrong indentation for "Step", expected indentation level of 2, but got 4
linha 119: Wrong indentation for "Step", expected indentation level of 2, but got 4
linha 119: Step name is too long. Length of 263 is longer than the maximum allowed: 70
linha 120: Wrong indentation for "Step", expected indentation level of 2, but got 4
linha 121: Wrong indentation for "Step", expected indentation level of 2, but got 4
linha 122: Wrong indentation for "Step", expected indentation level of 2, but got 4
linha 123: Wrong indentation for "Step", expected indentation level of 2, but got 4
linha 123: Step name is too long. Length of 117 is longer than the maximum allowed: 70
linha 124: Wrong indentation for "Step", expected indentation level of 2, but got 4
linha 124: Step name is too long. Length of 82 is longer than the maximum allowed: 70
linha 125: Wrong indentation for "Step", expected indentation level of 2, but got 4
linha 125: Step name is too long. Length of 85 is longer than the maximum allowed: 70
linha 127: Multiple empty lines are not allowed
linha 128: Multiple empty lines are not allowed
linha 131: Wrong indentation for "Step", expected indentation level of 2, but got 4
linha 132: Wrong indentation for "Step", expected indentation level of 2, but got 4
linha 133: Wrong indentation for "Step", expected indentation level of 2, but got 4
linha 134: Wrong indentation for "Step", expected indentation level of 2, but got 4
linha 136: Multiple empty lines are not allowed
linha 137: Multiple empty lines are not allowed
linha 140: Wrong indentation for "Step", expected indentation level of 2, but got 4
linha 141: Wrong indentation for "Step", expected indentation level of 2, but got 4
linha 142: Wrong indentation for "Step", expected indentation level of 2, but got 4
linha 143: Wrong indentation for "Step", expected indentation level of 2, but got 4
linha 145: Multiple empty lines are not allowed
linha 146: Multiple empty lines are not allowed
linha 149: Wrong indentation for "Step", expected indentation level of 2, but got 4
linha 150: Wrong indentation for "Step", expected indentation level of 2, but got 4
linha 151: Wrong indentation for "Step", expected indentation level of 2, but got 4
linha 153: Multiple empty lines are not allowed
linha 154: Multiple empty lines are not allowed
linha 157: Wrong indentation for "Step", expected indentation level of 2, but got 4
linha 158: Wrong indentation for "Step", expected indentation level of 2, but got 4
linha 159: Wrong indentation for "Step", expected indentation level of 2, but got 4
linha 160: Wrong indentation for "Step", expected indentation level of 2, but got 4
linha 161: Wrong indentation for "Step", expected indentation level of 2, but got 4
linha 161: Step name is too long. Length of 79 is longer than the maximum allowed: 70
linha 163: Multiple empty lines are not allowed
linha 164: Multiple empty lines are not allowed
linha 167: Wrong indentation for "Step", expected indentation level of 2, but got 4
linha 168: Wrong indentation for "Step", expected indentation level of 2, but got 4
linha 169: Wrong indentation for "Step", expected indentation level of 2, but got 4
linha 170: Wrong indentation for "Step", expected indentation level of 2, but got 4
linha 172: Multiple empty lines are not allowed
linha 173: Multiple empty lines are not allowed
linha 176: Wrong indentation for "Step", expected indentation level of 2, but got 4
linha 177: Wrong indentation for "Step", expected indentation level of 2, but got 4
linha 178: Wrong indentation for "Step", expected indentation level of 2, but got 4
linha 178: Step name is too long. Length of 645 is longer than the maximum allowed: 70
linha 179: Wrong indentation for "Step", expected indentation level of 2, but got 4
linha 180: Wrong indentation for "Step", expected indentation level of 2, but got 4
linha 182: Multiple empty lines are not allowed
linha 183: Multiple empty lines are not allowed
linha 186: Wrong indentation for "Step", expected indentation level of 2, but got 4
linha 187: Wrong indentation for "Step", expected indentation level of 2, but got 4
linha 188: Wrong indentation for "Step", expected indentation level of 2, but got 4
linha 188: Step name is too long. Length of 645 is longer than the maximum allowed: 70
linha 189: Wrong indentation for "Step", expected indentation level of 2, but got 4
linha 190: Wrong indentation for "Step", expected indentation level of 2, but got 4
linha 192: Multiple empty lines are not allowed
linha 193: Multiple empty lines are not allowed
linha 196: Wrong indentation for "Step", expected indentation level of 2, but got 4
linha 197: Wrong indentation for "Step", expected indentation level of 2, but got 4
linha 198: Wrong indentation for "Step", expected indentation level of 2, but got 4
linha 199: Wrong indentation for "Step", expected indentation level of 2, but got 4
linha 199: Step name is too long. Length of 195 is longer than the maximum allowed: 70
linha 200: Wrong indentation for "Step", expected indentation level of 2, but got 4
linha 201: Wrong indentation for "Step", expected indentation level of 2, but got 4
linha 203: Multiple empty lines are not allowed
linha 204: Multiple empty lines are not allowed
linha 205: Scenario name is too long. Length of 80 is longer than the maximum allowed: 70
linha 207: Wrong indentation for "Step", expected indentation level of 2, but got 4
linha 208: Wrong indentation for "Step", expected indentation level of 2, but got 4
linha 209: Wrong indentation for "Step", expected indentation level of 2, but got 4
linha 210: Wrong indentation for "Step", expected indentation level of 2, but got 4
linha 210: Step name is too long. Length of 211 is longer than the maximum allowed: 70
linha 211: Wrong indentation for "Step", expected indentation level of 2, but got 4
linha 212: Wrong indentation for "Step", expected indentation level of 2, but got 4
linha 214: Multiple empty lines are not allowed
linha 215: Multiple empty lines are not allowed
linha 216: Scenario name is too long. Length of 90 is longer than the maximum allowed: 70
linha 218: Wrong indentation for "Step", expected indentation level of 2, but got 4
linha 219: Wrong indentation for "Step", expected indentation level of 2, but got 4
linha 220: Wrong indentation for "Step", expected indentation level of 2, but got 4
linha 221: Wrong indentation for "Step", expected indentation level of 2, but got 4
linha 221: Step name is too long. Length of 203 is longer than the maximum allowed: 70
linha 222: Wrong indentation for "Step", expected indentation level of 2, but got 4
linha 223: Wrong indentation for "Step", expected indentation level of 2, but got 4
linha 225: Multiple empty lines are not allowed
linha 226: Multiple empty lines are not allowed</t>
  </si>
  <si>
    <t>linha 9: Multiple empty lines are not allowed
linha 10: Multiple empty lines are not allowed
linha 18: Multiple empty lines are not allowed
linha 19: Multiple empty lines are not allowed
linha 28: Multiple empty lines are not allowed
linha 29: Multiple empty lines are not allowed
linha 30: Scenario name is too long. Length of 74 is longer than the maximum allowed: 70
linha 33: Step name is too long. Length of 599 is longer than the maximum allowed: 70
linha 37: Multiple empty lines are not allowed
linha 38: Multiple empty lines are not allowed
linha 39: Scenario name is too long. Length of 71 is longer than the maximum allowed: 70
linha 42: Step name is too long. Length of 599 is longer than the maximum allowed: 70
linha 46: Multiple empty lines are not allowed
linha 47: Multiple empty lines are not allowed
linha 51: Step name is too long. Length of 172 is longer than the maximum allowed: 70
linha 55: Step name is too long. Length of 117 is longer than the maximum allowed: 70
linha 57: Multiple empty lines are not allowed
linha 58: Multiple empty lines are not allowed
linha 59: Scenario name is too long. Length of 83 is longer than the maximum allowed: 70
linha 62: Step name is too long. Length of 208 is longer than the maximum allowed: 70
linha 66: Step name is too long. Length of 117 is longer than the maximum allowed: 70
linha 67: Step name is too long. Length of 74 is longer than the maximum allowed: 70
linha 69: Multiple empty lines are not allowed
linha 70: Multiple empty lines are not allowed
linha 71: Scenario name is too long. Length of 105 is longer than the maximum allowed: 70
linha 74: Step name is too long. Length of 216 is longer than the maximum allowed: 70
linha 78: Step name is too long. Length of 117 is longer than the maximum allowed: 70
linha 79: Step name is too long. Length of 82 is longer than the maximum allowed: 70
linha 81: Multiple empty lines are not allowed
linha 82: Multiple empty lines are not allowed
linha 83: Scenario name is too long. Length of 83 is longer than the maximum allowed: 70
linha 86: Step name is too long. Length of 234 is longer than the maximum allowed: 70
linha 90: Step name is too long. Length of 117 is longer than the maximum allowed: 70
linha 93: Multiple empty lines are not allowed
linha 94: Multiple empty lines are not allowed
linha 95: Scenario name is too long. Length of 133 is longer than the maximum allowed: 70
linha 98: Step name is too long. Length of 235 is longer than the maximum allowed: 70
linha 102: Multiple empty lines are not allowed
linha 103: Multiple empty lines are not allowed
linha 104: Scenario name is too long. Length of 98 is longer than the maximum allowed: 70
linha 107: Step name is too long. Length of 209 is longer than the maximum allowed: 70
linha 111: Step name is too long. Length of 117 is longer than the maximum allowed: 70
linha 112: Step name is too long. Length of 75 is longer than the maximum allowed: 70
linha 114: Multiple empty lines are not allowed
linha 115: Multiple empty lines are not allowed
linha 116: Scenario name is too long. Length of 102 is longer than the maximum allowed: 70
linha 119: Step name is too long. Length of 263 is longer than the maximum allowed: 70
linha 123: Step name is too long. Length of 117 is longer than the maximum allowed: 70
linha 124: Step name is too long. Length of 82 is longer than the maximum allowed: 70
linha 125: Step name is too long. Length of 85 is longer than the maximum allowed: 70
linha 127: Multiple empty lines are not allowed
linha 128: Multiple empty lines are not allowed
linha 136: Multiple empty lines are not allowed
linha 137: Multiple empty lines are not allowed
linha 145: Multiple empty lines are not allowed
linha 146: Multiple empty lines are not allowed
linha 153: Multiple empty lines are not allowed
linha 154: Multiple empty lines are not allowed
linha 161: Step name is too long. Length of 79 is longer than the maximum allowed: 70
linha 163: Multiple empty lines are not allowed
linha 164: Multiple empty lines are not allowed
linha 172: Multiple empty lines are not allowed
linha 173: Multiple empty lines are not allowed
linha 178: Step name is too long. Length of 645 is longer than the maximum allowed: 70
linha 182: Multiple empty lines are not allowed
linha 183: Multiple empty lines are not allowed
linha 188: Step name is too long. Length of 645 is longer than the maximum allowed: 70
linha 192: Multiple empty lines are not allowed
linha 193: Multiple empty lines are not allowed
linha 199: Step name is too long. Length of 195 is longer than the maximum allowed: 70
linha 203: Multiple empty lines are not allowed
linha 204: Multiple empty lines are not allowed
linha 205: Scenario name is too long. Length of 80 is longer than the maximum allowed: 70
linha 210: Step name is too long. Length of 211 is longer than the maximum allowed: 70
linha 214: Multiple empty lines are not allowed
linha 215: Multiple empty lines are not allowed
linha 216: Scenario name is too long. Length of 90 is longer than the maximum allowed: 70
linha 221: Step name is too long. Length of 203 is longer than the maximum allowed: 70
linha 225: Multiple empty lines are not allowed
linha 226: Multiple empty lines are not allowed</t>
  </si>
  <si>
    <t>linha 30: Scenario name is too long. Length of 74 is longer than the maximum allowed: 70
linha 33: Step name is too long. Length of 599 is longer than the maximum allowed: 70
linha 39: Scenario name is too long. Length of 71 is longer than the maximum allowed: 70
linha 42: Step name is too long. Length of 599 is longer than the maximum allowed: 70
linha 51: Step name is too long. Length of 172 is longer than the maximum allowed: 70
linha 55: Step name is too long. Length of 117 is longer than the maximum allowed: 70
linha 59: Scenario name is too long. Length of 83 is longer than the maximum allowed: 70
linha 62: Step name is too long. Length of 208 is longer than the maximum allowed: 70
linha 66: Step name is too long. Length of 117 is longer than the maximum allowed: 70
linha 67: Step name is too long. Length of 74 is longer than the maximum allowed: 70
linha 71: Scenario name is too long. Length of 105 is longer than the maximum allowed: 70
linha 74: Step name is too long. Length of 216 is longer than the maximum allowed: 70
linha 78: Step name is too long. Length of 117 is longer than the maximum allowed: 70
linha 79: Step name is too long. Length of 82 is longer than the maximum allowed: 70
linha 83: Scenario name is too long. Length of 83 is longer than the maximum allowed: 70
linha 86: Step name is too long. Length of 234 is longer than the maximum allowed: 70
linha 90: Step name is too long. Length of 117 is longer than the maximum allowed: 70
linha 95: Scenario name is too long. Length of 133 is longer than the maximum allowed: 70
linha 98: Step name is too long. Length of 235 is longer than the maximum allowed: 70
linha 104: Scenario name is too long. Length of 98 is longer than the maximum allowed: 70
linha 107: Step name is too long. Length of 209 is longer than the maximum allowed: 70
linha 111: Step name is too long. Length of 117 is longer than the maximum allowed: 70
linha 112: Step name is too long. Length of 75 is longer than the maximum allowed: 70
linha 116: Scenario name is too long. Length of 102 is longer than the maximum allowed: 70
linha 119: Step name is too long. Length of 263 is longer than the maximum allowed: 70
linha 123: Step name is too long. Length of 117 is longer than the maximum allowed: 70
linha 124: Step name is too long. Length of 82 is longer than the maximum allowed: 70
linha 125: Step name is too long. Length of 85 is longer than the maximum allowed: 70
linha 161: Step name is too long. Length of 79 is longer than the maximum allowed: 70
linha 178: Step name is too long. Length of 645 is longer than the maximum allowed: 70
linha 188: Step name is too long. Length of 645 is longer than the maximum allowed: 70
linha 199: Step name is too long. Length of 195 is longer than the maximum allowed: 70
linha 205: Scenario name is too long. Length of 80 is longer than the maximum allowed: 70
linha 210: Step name is too long. Length of 211 is longer than the maximum allowed: 70
linha 216: Scenario name is too long. Length of 90 is longer than the maximum allowed: 70
linha 221: Step name is too long. Length of 203 is longer than the maximum allowed: 70</t>
  </si>
  <si>
    <t>linha 3: Element Scenario too long: actual 19, expected 15
linha 5: Wrong indentation for "Step", expected indentation level of 2, but got 4
linha 6: Wrong indentation for "Step", expected indentation level of 2, but got 4
linha 6: Step name is too long. Length of 476 is longer than the maximum allowed: 70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name is too long. Length of 76 is longer than the maximum allowed: 70
linha 14: Wrong indentation for "Step", expected indentation level of 2, but got 4
linha 14: Step name is too long. Length of 95 is longer than the maximum allowed: 70
linha 15: Wrong indentation for "Step", expected indentation level of 2, but got 4
linha 15: Step name is too long. Length of 82 is longer than the maximum allowed: 70
linha 16: Wrong indentation for "Step", expected indentation level of 2, but got 4
linha 16: Step name is too long. Length of 88 is longer than the maximum allowed: 70
linha 17: Wrong indentation for "Step", expected indentation level of 2, but got 4
linha 17: Step name is too long. Length of 88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73 is longer than the maximum allowed: 70
linha 21: Wrong indentation for "Step", expected indentation level of 2, but got 4
linha 21: Step name is too long. Length of 94 is longer than the maximum allowed: 70
linha 22: Wrong indentation for "Step", expected indentation level of 2, but got 4
linha 22: Step name is too long. Length of 88 is longer than the maximum allowed: 70
linha 23: Wrong indentation for "Step", expected indentation level of 2, but got 4
linha 23: Step name is too long. Length of 90 is longer than the maximum allowed: 70
linha 25: Multiple empty lines are not allowed
linha 26: Multiple empty lines are not allowed
linha 27: Element Scenario too long: actual 19, expected 15
linha 29: Wrong indentation for "Step", expected indentation level of 2, but got 4
linha 30: Wrong indentation for "Step", expected indentation level of 2, but got 4
linha 30: Step name is too long. Length of 454 is longer than the maximum allowed: 70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37: Step name is too long. Length of 76 is longer than the maximum allowed: 70
linha 38: Wrong indentation for "Step", expected indentation level of 2, but got 4
linha 38: Step name is too long. Length of 95 is longer than the maximum allowed: 70
linha 39: Wrong indentation for "Step", expected indentation level of 2, but got 4
linha 39: Step name is too long. Length of 90 is longer than the maximum allowed: 70
linha 40: Wrong indentation for "Step", expected indentation level of 2, but got 4
linha 40: Step name is too long. Length of 108 is longer than the maximum allowed: 70
linha 41: Wrong indentation for "Step", expected indentation level of 2, but got 4
linha 41: Step name is too long. Length of 92 is longer than the maximum allowed: 70
linha 42: Wrong indentation for "Step", expected indentation level of 2, but got 4
linha 43: Wrong indentation for "Step", expected indentation level of 2, but got 4
linha 44: Wrong indentation for "Step", expected indentation level of 2, but got 4
linha 44: Step name is too long. Length of 73 is longer than the maximum allowed: 70
linha 45: Wrong indentation for "Step", expected indentation level of 2, but got 4
linha 45: Step name is too long. Length of 94 is longer than the maximum allowed: 70
linha 46: Wrong indentation for "Step", expected indentation level of 2, but got 4
linha 46: Step name is too long. Length of 88 is longer than the maximum allowed: 70
linha 47: Wrong indentation for "Step", expected indentation level of 2, but got 4
linha 47: Step name is too long. Length of 90 is longer than the maximum allowed: 70
linha 49: Multiple empty lines are not allowed
linha 50: Multiple empty lines are not allowed
linha 51: Element Scenario too long: actual 20, expected 15
linha 53: Wrong indentation for "Step", expected indentation level of 2, but got 4
linha 54: Wrong indentation for "Step", expected indentation level of 2, but got 4
linha 54: Step name is too long. Length of 617 is longer than the maximum allowed: 70
linha 55: Wrong indentation for "Step", expected indentation level of 2, but got 4
linha 56: Wrong indentation for "Step", expected indentation level of 2, but got 4
linha 57: Wrong indentation for "Step", expected indentation level of 2, but got 4
linha 58: Wrong indentation for "Step", expected indentation level of 2, but got 4
linha 59: Wrong indentation for "Step", expected indentation level of 2, but got 4
linha 60: Wrong indentation for "Step", expected indentation level of 2, but got 4
linha 61: Wrong indentation for "Step", expected indentation level of 2, but got 4
linha 61: Step name is too long. Length of 90 is longer than the maximum allowed: 70
linha 62: Wrong indentation for "Step", expected indentation level of 2, but got 4
linha 62: Step name is too long. Length of 113 is longer than the maximum allowed: 70
linha 63: Wrong indentation for "Step", expected indentation level of 2, but got 4
linha 63: Step name is too long. Length of 113 is longer than the maximum allowed: 70
linha 64: Wrong indentation for "Step", expected indentation level of 2, but got 4
linha 64: Step name is too long. Length of 145 is longer than the maximum allowed: 70
linha 65: Wrong indentation for "Step", expected indentation level of 2, but got 4
linha 65: Step name is too long. Length of 127 is longer than the maximum allowed: 70
linha 66: Wrong indentation for "Step", expected indentation level of 2, but got 4
linha 66: Step name is too long. Length of 93 is longer than the maximum allowed: 70
linha 67: Wrong indentation for "Step", expected indentation level of 2, but got 4
linha 68: Wrong indentation for "Step", expected indentation level of 2, but got 4
linha 69: Wrong indentation for "Step", expected indentation level of 2, but got 4
linha 69: Step name is too long. Length of 73 is longer than the maximum allowed: 70
linha 70: Wrong indentation for "Step", expected indentation level of 2, but got 4
linha 70: Step name is too long. Length of 94 is longer than the maximum allowed: 70
linha 71: Wrong indentation for "Step", expected indentation level of 2, but got 4
linha 71: Step name is too long. Length of 88 is longer than the maximum allowed: 70
linha 72: Wrong indentation for "Step", expected indentation level of 2, but got 4
linha 72: Step name is too long. Length of 90 is longer than the maximum allowed: 70
linha 74: Multiple empty lines are not allowed
linha 75: Multiple empty lines are not allowed
linha 76: Element Scenario too long: actual 17, expected 15
linha 78: Wrong indentation for "Step", expected indentation level of 2, but got 4
linha 79: Wrong indentation for "Step", expected indentation level of 2, but got 4
linha 79: Step name is too long. Length of 388 is longer than the maximum allowed: 70
linha 80: Wrong indentation for "Step", expected indentation level of 2, but got 4
linha 81: Wrong indentation for "Step", expected indentation level of 2, but got 4
linha 82: Wrong indentation for "Step", expected indentation level of 2, but got 4
linha 83: Wrong indentation for "Step", expected indentation level of 2, but got 4
linha 84: Wrong indentation for "Step", expected indentation level of 2, but got 4
linha 85: Wrong indentation for "Step", expected indentation level of 2, but got 4
linha 86: Wrong indentation for "Step", expected indentation level of 2, but got 4
linha 86: Step name is too long. Length of 82 is longer than the maximum allowed: 70
linha 87: Wrong indentation for "Step", expected indentation level of 2, but got 4
linha 87: Step name is too long. Length of 95 is longer than the maximum allowed: 70
linha 88: Wrong indentation for "Step", expected indentation level of 2, but got 4
linha 88: Step name is too long. Length of 87 is longer than the maximum allowed: 70
linha 89: Wrong indentation for "Step", expected indentation level of 2, but got 4
linha 90: Wrong indentation for "Step", expected indentation level of 2, but got 4
linha 91: Wrong indentation for "Step", expected indentation level of 2, but got 4
linha 91: Step name is too long. Length of 73 is longer than the maximum allowed: 70
linha 92: Wrong indentation for "Step", expected indentation level of 2, but got 4
linha 92: Step name is too long. Length of 94 is longer than the maximum allowed: 70
linha 93: Wrong indentation for "Step", expected indentation level of 2, but got 4
linha 93: Step name is too long. Length of 88 is longer than the maximum allowed: 70
linha 94: Wrong indentation for "Step", expected indentation level of 2, but got 4
linha 94: Step name is too long. Length of 90 is longer than the maximum allowed: 70
linha 96: Multiple empty lines are not allowed
linha 97: Multiple empty lines are not allowed
linha 100: Wrong indentation for "Step", expected indentation level of 2, but got 4
linha 101: Wrong indentation for "Step", expected indentation level of 2, but got 4
linha 101: Step name is too long. Length of 94 is longer than the maximum allowed: 70
linha 102: Wrong indentation for "Step", expected indentation level of 2, but got 4
linha 103: Wrong indentation for "Step", expected indentation level of 2, but got 4
linha 105: Multiple empty lines are not allowed
linha 106: Multiple empty lines are not allowed
linha 109: Wrong indentation for "Step", expected indentation level of 2, but got 4
linha 110: Wrong indentation for "Step", expected indentation level of 2, but got 4
linha 110: Step name is too long. Length of 474 is longer than the maximum allowed: 70
linha 111: Wrong indentation for "Step", expected indentation level of 2, but got 4
linha 112: Wrong indentation for "Step", expected indentation level of 2, but got 4
linha 114: Multiple empty lines are not allowed
linha 115: Multiple empty lines are not allowed
linha 118: Wrong indentation for "Step", expected indentation level of 2, but got 4
linha 119: Wrong indentation for "Step", expected indentation level of 2, but got 4
linha 119: Step name is too long. Length of 474 is longer than the maximum allowed: 70
linha 120: Wrong indentation for "Step", expected indentation level of 2, but got 4
linha 121: Wrong indentation for "Step", expected indentation level of 2, but got 4
linha 123: Multiple empty lines are not allowed
linha 124: Multiple empty lines are not allowed
linha 125: Element Scenario too long: actual 20, expected 15
linha 127: Wrong indentation for "Step", expected indentation level of 2, but got 4
linha 128: Wrong indentation for "Step", expected indentation level of 2, but got 4
linha 128: Step name is too long. Length of 480 is longer than the maximum allowed: 70
linha 129: Wrong indentation for "Step", expected indentation level of 2, but got 4
linha 130: Wrong indentation for "Step", expected indentation level of 2, but got 4
linha 131: Wrong indentation for "Step", expected indentation level of 2, but got 4
linha 132: Wrong indentation for "Step", expected indentation level of 2, but got 4
linha 133: Wrong indentation for "Step", expected indentation level of 2, but got 4
linha 134: Wrong indentation for "Step", expected indentation level of 2, but got 4
linha 135: Wrong indentation for "Step", expected indentation level of 2, but got 4
linha 135: Step name is too long. Length of 85 is longer than the maximum allowed: 70
linha 136: Wrong indentation for "Step", expected indentation level of 2, but got 4
linha 136: Step name is too long. Length of 95 is longer than the maximum allowed: 70
linha 137: Wrong indentation for "Step", expected indentation level of 2, but got 4
linha 137: Step name is too long. Length of 88 is longer than the maximum allowed: 70
linha 138: Wrong indentation for "Step", expected indentation level of 2, but got 4
linha 138: Step name is too long. Length of 92 is longer than the maximum allowed: 70
linha 139: Wrong indentation for "Step", expected indentation level of 2, but got 4
linha 139: Step name is too long. Length of 88 is longer than the maximum allowed: 70
linha 140: Wrong indentation for "Step", expected indentation level of 2, but got 4
linha 140: Step name is too long. Length of 88 is longer than the maximum allowed: 70
linha 141: Wrong indentation for "Step", expected indentation level of 2, but got 4
linha 142: Wrong indentation for "Step", expected indentation level of 2, but got 4
linha 143: Wrong indentation for "Step", expected indentation level of 2, but got 4
linha 143: Step name is too long. Length of 73 is longer than the maximum allowed: 70
linha 144: Wrong indentation for "Step", expected indentation level of 2, but got 4
linha 144: Step name is too long. Length of 94 is longer than the maximum allowed: 70
linha 145: Wrong indentation for "Step", expected indentation level of 2, but got 4
linha 145: Step name is too long. Length of 88 is longer than the maximum allowed: 70
linha 146: Wrong indentation for "Step", expected indentation level of 2, but got 4
linha 146: Step name is too long. Length of 90 is longer than the maximum allowed: 70
linha 148: Multiple empty lines are not allowed
linha 149: Multiple empty lines are not allowed
linha 152: Wrong indentation for "Step", expected indentation level of 2, but got 4
linha 153: Wrong indentation for "Step", expected indentation level of 2, but got 4
linha 154: Wrong indentation for "Step", expected indentation level of 2, but got 4
linha 155: Wrong indentation for "Step", expected indentation level of 2, but got 4
linha 157: Multiple empty lines are not allowed
linha 158: Multiple empty lines are not allowed
linha 161: Wrong indentation for "Step", expected indentation level of 2, but got 4
linha 162: Wrong indentation for "Step", expected indentation level of 2, but got 4
linha 162: Step name is too long. Length of 78 is longer than the maximum allowed: 70
linha 163: Wrong indentation for "Step", expected indentation level of 2, but got 4
linha 164: Wrong indentation for "Step", expected indentation level of 2, but got 4
linha 166: Multiple empty lines are not allowed
linha 167: Multiple empty lines are not allowed
linha 170: Wrong indentation for "Step", expected indentation level of 2, but got 4
linha 171: Wrong indentation for "Step", expected indentation level of 2, but got 4
linha 172: Wrong indentation for "Step", expected indentation level of 2, but got 4
linha 172: Step name is too long. Length of 84 is longer than the maximum allowed: 70
linha 173: Wrong indentation for "Step", expected indentation level of 2, but got 4
linha 174: Wrong indentation for "Step", expected indentation level of 2, but got 4
linha 176: Multiple empty lines are not allowed
linha 177: Multiple empty lines are not allowed
linha 180: Wrong indentation for "Step", expected indentation level of 2, but got 4
linha 181: Wrong indentation for "Step", expected indentation level of 2, but got 4
linha 182: Wrong indentation for "Step", expected indentation level of 2, but got 4
linha 183: Wrong indentation for "Step", expected indentation level of 2, but got 4
linha 185: Multiple empty lines are not allowed
linha 186: Multiple empty lines are not allowed
linha 189: Wrong indentation for "Step", expected indentation level of 2, but got 4
linha 190: Wrong indentation for "Step", expected indentation level of 2, but got 4
linha 190: Step name is too long. Length of 78 is longer than the maximum allowed: 70
linha 191: Wrong indentation for "Step", expected indentation level of 2, but got 4
linha 192: Wrong indentation for "Step", expected indentation level of 2, but got 4
linha 194: Multiple empty lines are not allowed
linha 195: Multiple empty lines are not allowed
linha 196: Element Scenario too long: actual 19, expected 15
linha 198: Wrong indentation for "Step", expected indentation level of 2, but got 4
linha 199: Wrong indentation for "Step", expected indentation level of 2, but got 4
linha 200: Wrong indentation for "Step", expected indentation level of 2, but got 4
linha 200: Step name is too long. Length of 84 is longer than the maximum allowed: 70
linha 201: Wrong indentation for "Step", expected indentation level of 2, but got 4
linha 202: Wrong indentation for "Step", expected indentation level of 2, but got 4
linha 203: Wrong indentation for "Step", expected indentation level of 2, but got 4
linha 204: Wrong indentation for "Step", expected indentation level of 2, but got 4
linha 205: Wrong indentation for "Step", expected indentation level of 2, but got 4
linha 205: Step name is too long. Length of 95 is longer than the maximum allowed: 70
linha 206: Wrong indentation for "Step", expected indentation level of 2, but got 4
linha 206: Step name is too long. Length of 97 is longer than the maximum allowed: 70
linha 207: Wrong indentation for "Step", expected indentation level of 2, but got 4
linha 207: Step name is too long. Length of 139 is longer than the maximum allowed: 70
linha 208: Wrong indentation for "Step", expected indentation level of 2, but got 4
linha 208: Step name is too long. Length of 147 is longer than the maximum allowed: 70
linha 209: Wrong indentation for "Step", expected indentation level of 2, but got 4
linha 209: Step name is too long. Length of 149 is longer than the maximum allowed: 70
linha 210: Wrong indentation for "Step", expected indentation level of 2, but got 4
linha 210: Step name is too long. Length of 88 is longer than the maximum allowed: 70
linha 211: Wrong indentation for "Step", expected indentation level of 2, but got 4
linha 211: Step name is too long. Length of 88 is longer than the maximum allowed: 70
linha 212: Wrong indentation for "Step", expected indentation level of 2, but got 4
linha 213: Wrong indentation for "Step", expected indentation level of 2, but got 4
linha 214: Wrong indentation for "Step", expected indentation level of 2, but got 4
linha 214: Step name is too long. Length of 73 is longer than the maximum allowed: 70
linha 215: Wrong indentation for "Step", expected indentation level of 2, but got 4
linha 215: Step name is too long. Length of 88 is longer than the maximum allowed: 70
linha 216: Wrong indentation for "Step", expected indentation level of 2, but got 4
linha 216: Step name is too long. Length of 155 is longer than the maximum allowed: 70
linha 218: Multiple empty lines are not allowed
linha 219: Multiple empty lines are not allowed
linha 222: Wrong indentation for "Step", expected indentation level of 2, but got 4
linha 223: Wrong indentation for "Step", expected indentation level of 2, but got 4
linha 224: Wrong indentation for "Step", expected indentation level of 2, but got 4
linha 225: Wrong indentation for "Step", expected indentation level of 2, but got 4
linha 226: Wrong indentation for "Step", expected indentation level of 2, but got 4
linha 226: Step name is too long. Length of 78 is longer than the maximum allowed: 70
linha 227: Wrong indentation for "Step", expected indentation level of 2, but got 4
linha 227: Step name is too long. Length of 90 is longer than the maximum allowed: 70
linha 228: Wrong indentation for "Step", expected indentation level of 2, but got 4
linha 228: Step name is too long. Length of 116 is longer than the maximum allowed: 70
linha 229: Wrong indentation for "Step", expected indentation level of 2, but got 4
linha 229: Step name is too long. Length of 118 is longer than the maximum allowed: 70
linha 230: Wrong indentation for "Step", expected indentation level of 2, but got 4
linha 230: Step name is too long. Length of 160 is longer than the maximum allowed: 70
linha 231: Wrong indentation for "Step", expected indentation level of 2, but got 4
linha 231: Step name is too long. Length of 168 is longer than the maximum allowed: 70
linha 232: Wrong indentation for "Step", expected indentation level of 2, but got 4
linha 232: Step name is too long. Length of 170 is longer than the maximum allowed: 70
linha 233: Wrong indentation for "Step", expected indentation level of 2, but got 4
linha 233: Step name is too long. Length of 77 is longer than the maximum allowed: 70
linha 234: Wrong indentation for "Step", expected indentation level of 2, but got 4
linha 234: Step name is too long. Length of 82 is longer than the maximum allowed: 70
linha 235: Wrong indentation for "Step", expected indentation level of 2, but got 4
linha 235: Step name is too long. Length of 176 is longer than the maximum allowed: 70
linha 237: Multiple empty lines are not allowed
linha 238: Multiple empty lines are not allowed
linha 241: Wrong indentation for "Step", expected indentation level of 2, but got 4
linha 242: Wrong indentation for "Step", expected indentation level of 2, but got 4
linha 243: Wrong indentation for "Step", expected indentation level of 2, but got 4
linha 243: Step name is too long. Length of 84 is longer than the maximum allowed: 70
linha 244: Wrong indentation for "Step", expected indentation level of 2, but got 4
linha 244: Step name is too long. Length of 186 is longer than the maximum allowed: 70
linha 245: Wrong indentation for "Step", expected indentation level of 2, but got 4
linha 246: Wrong indentation for "Step", expected indentation level of 2, but got 4
linha 248: Multiple empty lines are not allowed
linha 249: Multiple empty lines are not allowed
linha 252: Wrong indentation for "Step", expected indentation level of 2, but got 4
linha 253: Wrong indentation for "Step", expected indentation level of 2, but got 4
linha 254: Wrong indentation for "Step", expected indentation level of 2, but got 4
linha 254: Step name is too long. Length of 476 is longer than the maximum allowed: 70
linha 255: Wrong indentation for "Step", expected indentation level of 2, but got 4
linha 256: Wrong indentation for "Step", expected indentation level of 2, but got 4
linha 258: Multiple empty lines are not allowed
linha 259: Multiple empty lines are not allowed
linha 262: Wrong indentation for "Step", expected indentation level of 2, but got 4
linha 263: Wrong indentation for "Step", expected indentation level of 2, but got 4
linha 263: Step name is too long. Length of 103 is longer than the maximum allowed: 70
linha 264: Wrong indentation for "Step", expected indentation level of 2, but got 4
linha 264: Step name is too long. Length of 526 is longer than the maximum allowed: 70
linha 265: Wrong indentation for "Step", expected indentation level of 2, but got 4
linha 266: Wrong indentation for "Step", expected indentation level of 2, but got 4
linha 268: Multiple empty lines are not allowed
linha 269: Multiple empty lines are not allowed
linha 270: Element Scenario too long: actual 20, expected 15
linha 272: Wrong indentation for "Step", expected indentation level of 2, but got 4
linha 273: Wrong indentation for "Step", expected indentation level of 2, but got 4
linha 274: Wrong indentation for "Step", expected indentation level of 2, but got 4
linha 274: Step name is too long. Length of 84 is longer than the maximum allowed: 70
linha 275: Wrong indentation for "Step", expected indentation level of 2, but got 4
linha 275: Step name is too long. Length of 261 is longer than the maximum allowed: 70
linha 276: Wrong indentation for "Step", expected indentation level of 2, but got 4
linha 277: Wrong indentation for "Step", expected indentation level of 2, but got 4
linha 278: Wrong indentation for "Step", expected indentation level of 2, but got 4
linha 279: Wrong indentation for "Step", expected indentation level of 2, but got 4
linha 280: Wrong indentation for "Step", expected indentation level of 2, but got 4
linha 281: Wrong indentation for "Step", expected indentation level of 2, but got 4
linha 281: Step name is too long. Length of 97 is longer than the maximum allowed: 70
linha 282: Wrong indentation for "Step", expected indentation level of 2, but got 4
linha 282: Step name is too long. Length of 139 is longer than the maximum allowed: 70
linha 283: Wrong indentation for "Step", expected indentation level of 2, but got 4
linha 283: Step name is too long. Length of 147 is longer than the maximum allowed: 70
linha 284: Wrong indentation for "Step", expected indentation level of 2, but got 4
linha 284: Step name is too long. Length of 149 is longer than the maximum allowed: 70
linha 285: Wrong indentation for "Step", expected indentation level of 2, but got 4
linha 285: Step name is too long. Length of 88 is longer than the maximum allowed: 70
linha 286: Wrong indentation for "Step", expected indentation level of 2, but got 4
linha 286: Step name is too long. Length of 88 is longer than the maximum allowed: 70
linha 287: Wrong indentation for "Step", expected indentation level of 2, but got 4
linha 288: Wrong indentation for "Step", expected indentation level of 2, but got 4
linha 289: Wrong indentation for "Step", expected indentation level of 2, but got 4
linha 289: Step name is too long. Length of 73 is longer than the maximum allowed: 70
linha 290: Wrong indentation for "Step", expected indentation level of 2, but got 4
linha 290: Step name is too long. Length of 88 is longer than the maximum allowed: 70
linha 291: Wrong indentation for "Step", expected indentation level of 2, but got 4
linha 291: Step name is too long. Length of 155 is longer than the maximum allowed: 70
linha 293: Multiple empty lines are not allowed
linha 294: Multiple empty lines are not allowed</t>
  </si>
  <si>
    <t>linha 3: Element Scenario too long: actual 19, expected 15
linha 6: Step name is too long. Length of 476 is longer than the maximum allowed: 70
linha 13: Step name is too long. Length of 76 is longer than the maximum allowed: 70
linha 14: Step name is too long. Length of 95 is longer than the maximum allowed: 70
linha 15: Step name is too long. Length of 82 is longer than the maximum allowed: 70
linha 16: Step name is too long. Length of 88 is longer than the maximum allowed: 70
linha 17: Step name is too long. Length of 88 is longer than the maximum allowed: 70
linha 20: Step name is too long. Length of 73 is longer than the maximum allowed: 70
linha 21: Step name is too long. Length of 94 is longer than the maximum allowed: 70
linha 22: Step name is too long. Length of 88 is longer than the maximum allowed: 70
linha 23: Step name is too long. Length of 90 is longer than the maximum allowed: 70
linha 25: Multiple empty lines are not allowed
linha 26: Multiple empty lines are not allowed
linha 27: Element Scenario too long: actual 19, expected 15
linha 30: Step name is too long. Length of 454 is longer than the maximum allowed: 70
linha 37: Step name is too long. Length of 76 is longer than the maximum allowed: 70
linha 38: Step name is too long. Length of 95 is longer than the maximum allowed: 70
linha 39: Step name is too long. Length of 90 is longer than the maximum allowed: 70
linha 40: Step name is too long. Length of 108 is longer than the maximum allowed: 70
linha 41: Step name is too long. Length of 92 is longer than the maximum allowed: 70
linha 44: Step name is too long. Length of 73 is longer than the maximum allowed: 70
linha 45: Step name is too long. Length of 94 is longer than the maximum allowed: 70
linha 46: Step name is too long. Length of 88 is longer than the maximum allowed: 70
linha 47: Step name is too long. Length of 90 is longer than the maximum allowed: 70
linha 49: Multiple empty lines are not allowed
linha 50: Multiple empty lines are not allowed
linha 51: Element Scenario too long: actual 20, expected 15
linha 54: Step name is too long. Length of 617 is longer than the maximum allowed: 70
linha 61: Step name is too long. Length of 90 is longer than the maximum allowed: 70
linha 62: Step name is too long. Length of 113 is longer than the maximum allowed: 70
linha 63: Step name is too long. Length of 113 is longer than the maximum allowed: 70
linha 64: Step name is too long. Length of 145 is longer than the maximum allowed: 70
linha 65: Step name is too long. Length of 127 is longer than the maximum allowed: 70
linha 66: Step name is too long. Length of 93 is longer than the maximum allowed: 70
linha 69: Step name is too long. Length of 73 is longer than the maximum allowed: 70
linha 70: Step name is too long. Length of 94 is longer than the maximum allowed: 70
linha 71: Step name is too long. Length of 88 is longer than the maximum allowed: 70
linha 72: Step name is too long. Length of 90 is longer than the maximum allowed: 70
linha 74: Multiple empty lines are not allowed
linha 75: Multiple empty lines are not allowed
linha 76: Element Scenario too long: actual 17, expected 15
linha 79: Step name is too long. Length of 388 is longer than the maximum allowed: 70
linha 86: Step name is too long. Length of 82 is longer than the maximum allowed: 70
linha 87: Step name is too long. Length of 95 is longer than the maximum allowed: 70
linha 88: Step name is too long. Length of 87 is longer than the maximum allowed: 70
linha 91: Step name is too long. Length of 73 is longer than the maximum allowed: 70
linha 92: Step name is too long. Length of 94 is longer than the maximum allowed: 70
linha 93: Step name is too long. Length of 88 is longer than the maximum allowed: 70
linha 94: Step name is too long. Length of 90 is longer than the maximum allowed: 70
linha 96: Multiple empty lines are not allowed
linha 97: Multiple empty lines are not allowed
linha 101: Step name is too long. Length of 94 is longer than the maximum allowed: 70
linha 105: Multiple empty lines are not allowed
linha 106: Multiple empty lines are not allowed
linha 110: Step name is too long. Length of 474 is longer than the maximum allowed: 70
linha 114: Multiple empty lines are not allowed
linha 115: Multiple empty lines are not allowed
linha 119: Step name is too long. Length of 474 is longer than the maximum allowed: 70
linha 123: Multiple empty lines are not allowed
linha 124: Multiple empty lines are not allowed
linha 125: Element Scenario too long: actual 20, expected 15
linha 128: Step name is too long. Length of 480 is longer than the maximum allowed: 70
linha 135: Step name is too long. Length of 85 is longer than the maximum allowed: 70
linha 136: Step name is too long. Length of 95 is longer than the maximum allowed: 70
linha 137: Step name is too long. Length of 88 is longer than the maximum allowed: 70
linha 138: Step name is too long. Length of 92 is longer than the maximum allowed: 70
linha 139: Step name is too long. Length of 88 is longer than the maximum allowed: 70
linha 140: Step name is too long. Length of 88 is longer than the maximum allowed: 70
linha 143: Step name is too long. Length of 73 is longer than the maximum allowed: 70
linha 144: Step name is too long. Length of 94 is longer than the maximum allowed: 70
linha 145: Step name is too long. Length of 88 is longer than the maximum allowed: 70
linha 146: Step name is too long. Length of 90 is longer than the maximum allowed: 70
linha 148: Multiple empty lines are not allowed
linha 149: Multiple empty lines are not allowed
linha 157: Multiple empty lines are not allowed
linha 158: Multiple empty lines are not allowed
linha 162: Step name is too long. Length of 78 is longer than the maximum allowed: 70
linha 166: Multiple empty lines are not allowed
linha 167: Multiple empty lines are not allowed
linha 172: Step name is too long. Length of 84 is longer than the maximum allowed: 70
linha 176: Multiple empty lines are not allowed
linha 177: Multiple empty lines are not allowed
linha 185: Multiple empty lines are not allowed
linha 186: Multiple empty lines are not allowed
linha 190: Step name is too long. Length of 78 is longer than the maximum allowed: 70
linha 194: Multiple empty lines are not allowed
linha 195: Multiple empty lines are not allowed
linha 196: Element Scenario too long: actual 19, expected 15
linha 200: Step name is too long. Length of 84 is longer than the maximum allowed: 70
linha 205: Step name is too long. Length of 95 is longer than the maximum allowed: 70
linha 206: Step name is too long. Length of 97 is longer than the maximum allowed: 70
linha 207: Step name is too long. Length of 139 is longer than the maximum allowed: 70
linha 208: Step name is too long. Length of 147 is longer than the maximum allowed: 70
linha 209: Step name is too long. Length of 149 is longer than the maximum allowed: 70
linha 210: Step name is too long. Length of 88 is longer than the maximum allowed: 70
linha 211: Step name is too long. Length of 88 is longer than the maximum allowed: 70
linha 214: Step name is too long. Length of 73 is longer than the maximum allowed: 70
linha 215: Step name is too long. Length of 88 is longer than the maximum allowed: 70
linha 216: Step name is too long. Length of 155 is longer than the maximum allowed: 70
linha 218: Multiple empty lines are not allowed
linha 219: Multiple empty lines are not allowed
linha 226: Step name is too long. Length of 78 is longer than the maximum allowed: 70
linha 227: Step name is too long. Length of 90 is longer than the maximum allowed: 70
linha 228: Step name is too long. Length of 116 is longer than the maximum allowed: 70
linha 229: Step name is too long. Length of 118 is longer than the maximum allowed: 70
linha 230: Step name is too long. Length of 160 is longer than the maximum allowed: 70
linha 231: Step name is too long. Length of 168 is longer than the maximum allowed: 70
linha 232: Step name is too long. Length of 170 is longer than the maximum allowed: 70
linha 233: Step name is too long. Length of 77 is longer than the maximum allowed: 70
linha 234: Step name is too long. Length of 82 is longer than the maximum allowed: 70
linha 235: Step name is too long. Length of 176 is longer than the maximum allowed: 70
linha 237: Multiple empty lines are not allowed
linha 238: Multiple empty lines are not allowed
linha 243: Step name is too long. Length of 84 is longer than the maximum allowed: 70
linha 244: Step name is too long. Length of 186 is longer than the maximum allowed: 70
linha 248: Multiple empty lines are not allowed
linha 249: Multiple empty lines are not allowed
linha 254: Step name is too long. Length of 476 is longer than the maximum allowed: 70
linha 258: Multiple empty lines are not allowed
linha 259: Multiple empty lines are not allowed
linha 263: Step name is too long. Length of 103 is longer than the maximum allowed: 70
linha 264: Step name is too long. Length of 526 is longer than the maximum allowed: 70
linha 268: Multiple empty lines are not allowed
linha 269: Multiple empty lines are not allowed
linha 270: Element Scenario too long: actual 20, expected 15
linha 274: Step name is too long. Length of 84 is longer than the maximum allowed: 70
linha 275: Step name is too long. Length of 261 is longer than the maximum allowed: 70
linha 281: Step name is too long. Length of 97 is longer than the maximum allowed: 70
linha 282: Step name is too long. Length of 139 is longer than the maximum allowed: 70
linha 283: Step name is too long. Length of 147 is longer than the maximum allowed: 70
linha 284: Step name is too long. Length of 149 is longer than the maximum allowed: 70
linha 285: Step name is too long. Length of 88 is longer than the maximum allowed: 70
linha 286: Step name is too long. Length of 88 is longer than the maximum allowed: 70
linha 289: Step name is too long. Length of 73 is longer than the maximum allowed: 70
linha 290: Step name is too long. Length of 88 is longer than the maximum allowed: 70
linha 291: Step name is too long. Length of 155 is longer than the maximum allowed: 70
linha 293: Multiple empty lines are not allowed
linha 294: Multiple empty lines are not allowed</t>
  </si>
  <si>
    <t>linha 3: Element Scenario too long: actual 19, expected 15
linha 6: Step name is too long. Length of 476 is longer than the maximum allowed: 70
linha 13: Step name is too long. Length of 76 is longer than the maximum allowed: 70
linha 14: Step name is too long. Length of 95 is longer than the maximum allowed: 70
linha 15: Step name is too long. Length of 82 is longer than the maximum allowed: 70
linha 16: Step name is too long. Length of 88 is longer than the maximum allowed: 70
linha 17: Step name is too long. Length of 88 is longer than the maximum allowed: 70
linha 20: Step name is too long. Length of 73 is longer than the maximum allowed: 70
linha 21: Step name is too long. Length of 94 is longer than the maximum allowed: 70
linha 22: Step name is too long. Length of 88 is longer than the maximum allowed: 70
linha 23: Step name is too long. Length of 90 is longer than the maximum allowed: 70
linha 27: Element Scenario too long: actual 19, expected 15
linha 30: Step name is too long. Length of 454 is longer than the maximum allowed: 70
linha 37: Step name is too long. Length of 76 is longer than the maximum allowed: 70
linha 38: Step name is too long. Length of 95 is longer than the maximum allowed: 70
linha 39: Step name is too long. Length of 90 is longer than the maximum allowed: 70
linha 40: Step name is too long. Length of 108 is longer than the maximum allowed: 70
linha 41: Step name is too long. Length of 92 is longer than the maximum allowed: 70
linha 44: Step name is too long. Length of 73 is longer than the maximum allowed: 70
linha 45: Step name is too long. Length of 94 is longer than the maximum allowed: 70
linha 46: Step name is too long. Length of 88 is longer than the maximum allowed: 70
linha 47: Step name is too long. Length of 90 is longer than the maximum allowed: 70
linha 51: Element Scenario too long: actual 20, expected 15
linha 54: Step name is too long. Length of 617 is longer than the maximum allowed: 70
linha 61: Step name is too long. Length of 90 is longer than the maximum allowed: 70
linha 62: Step name is too long. Length of 113 is longer than the maximum allowed: 70
linha 63: Step name is too long. Length of 113 is longer than the maximum allowed: 70
linha 64: Step name is too long. Length of 145 is longer than the maximum allowed: 70
linha 65: Step name is too long. Length of 127 is longer than the maximum allowed: 70
linha 66: Step name is too long. Length of 93 is longer than the maximum allowed: 70
linha 69: Step name is too long. Length of 73 is longer than the maximum allowed: 70
linha 70: Step name is too long. Length of 94 is longer than the maximum allowed: 70
linha 71: Step name is too long. Length of 88 is longer than the maximum allowed: 70
linha 72: Step name is too long. Length of 90 is longer than the maximum allowed: 70
linha 76: Element Scenario too long: actual 17, expected 15
linha 79: Step name is too long. Length of 388 is longer than the maximum allowed: 70
linha 86: Step name is too long. Length of 82 is longer than the maximum allowed: 70
linha 87: Step name is too long. Length of 95 is longer than the maximum allowed: 70
linha 88: Step name is too long. Length of 87 is longer than the maximum allowed: 70
linha 91: Step name is too long. Length of 73 is longer than the maximum allowed: 70
linha 92: Step name is too long. Length of 94 is longer than the maximum allowed: 70
linha 93: Step name is too long. Length of 88 is longer than the maximum allowed: 70
linha 94: Step name is too long. Length of 90 is longer than the maximum allowed: 70
linha 101: Step name is too long. Length of 94 is longer than the maximum allowed: 70
linha 110: Step name is too long. Length of 474 is longer than the maximum allowed: 70
linha 119: Step name is too long. Length of 474 is longer than the maximum allowed: 70
linha 125: Element Scenario too long: actual 20, expected 15
linha 128: Step name is too long. Length of 480 is longer than the maximum allowed: 70
linha 135: Step name is too long. Length of 85 is longer than the maximum allowed: 70
linha 136: Step name is too long. Length of 95 is longer than the maximum allowed: 70
linha 137: Step name is too long. Length of 88 is longer than the maximum allowed: 70
linha 138: Step name is too long. Length of 92 is longer than the maximum allowed: 70
linha 139: Step name is too long. Length of 88 is longer than the maximum allowed: 70
linha 140: Step name is too long. Length of 88 is longer than the maximum allowed: 70
linha 143: Step name is too long. Length of 73 is longer than the maximum allowed: 70
linha 144: Step name is too long. Length of 94 is longer than the maximum allowed: 70
linha 145: Step name is too long. Length of 88 is longer than the maximum allowed: 70
linha 146: Step name is too long. Length of 90 is longer than the maximum allowed: 70
linha 162: Step name is too long. Length of 78 is longer than the maximum allowed: 70
linha 172: Step name is too long. Length of 84 is longer than the maximum allowed: 70
linha 190: Step name is too long. Length of 78 is longer than the maximum allowed: 70
linha 196: Element Scenario too long: actual 19, expected 15
linha 200: Step name is too long. Length of 84 is longer than the maximum allowed: 70
linha 205: Step name is too long. Length of 95 is longer than the maximum allowed: 70
linha 206: Step name is too long. Length of 97 is longer than the maximum allowed: 70
linha 207: Step name is too long. Length of 139 is longer than the maximum allowed: 70
linha 208: Step name is too long. Length of 147 is longer than the maximum allowed: 70
linha 209: Step name is too long. Length of 149 is longer than the maximum allowed: 70
linha 210: Step name is too long. Length of 88 is longer than the maximum allowed: 70
linha 211: Step name is too long. Length of 88 is longer than the maximum allowed: 70
linha 214: Step name is too long. Length of 73 is longer than the maximum allowed: 70
linha 215: Step name is too long. Length of 88 is longer than the maximum allowed: 70
linha 216: Step name is too long. Length of 155 is longer than the maximum allowed: 70
linha 226: Step name is too long. Length of 78 is longer than the maximum allowed: 70
linha 227: Step name is too long. Length of 90 is longer than the maximum allowed: 70
linha 228: Step name is too long. Length of 116 is longer than the maximum allowed: 70
linha 229: Step name is too long. Length of 118 is longer than the maximum allowed: 70
linha 230: Step name is too long. Length of 160 is longer than the maximum allowed: 70
linha 231: Step name is too long. Length of 168 is longer than the maximum allowed: 70
linha 232: Step name is too long. Length of 170 is longer than the maximum allowed: 70
linha 233: Step name is too long. Length of 77 is longer than the maximum allowed: 70
linha 234: Step name is too long. Length of 82 is longer than the maximum allowed: 70
linha 235: Step name is too long. Length of 176 is longer than the maximum allowed: 70
linha 243: Step name is too long. Length of 84 is longer than the maximum allowed: 70
linha 244: Step name is too long. Length of 186 is longer than the maximum allowed: 70
linha 254: Step name is too long. Length of 476 is longer than the maximum allowed: 70
linha 263: Step name is too long. Length of 103 is longer than the maximum allowed: 70
linha 264: Step name is too long. Length of 526 is longer than the maximum allowed: 70
linha 270: Element Scenario too long: actual 20, expected 15
linha 274: Step name is too long. Length of 84 is longer than the maximum allowed: 70
linha 275: Step name is too long. Length of 261 is longer than the maximum allowed: 70
linha 281: Step name is too long. Length of 97 is longer than the maximum allowed: 70
linha 282: Step name is too long. Length of 139 is longer than the maximum allowed: 70
linha 283: Step name is too long. Length of 147 is longer than the maximum allowed: 70
linha 284: Step name is too long. Length of 149 is longer than the maximum allowed: 70
linha 285: Step name is too long. Length of 88 is longer than the maximum allowed: 70
linha 286: Step name is too long. Length of 88 is longer than the maximum allowed: 70
linha 289: Step name is too long. Length of 73 is longer than the maximum allowed: 70
linha 290: Step name is too long. Length of 88 is longer than the maximum allowed: 70
linha 291: Step name is too long. Length of 155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</si>
  <si>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196 is longer than the maximum allowed: 70
linha 8: Wrong indentation for "Step", expected indentation level of 2, but got 4
linha 9: Wrong indentation for "Step", expected indentation level of 2, but got 4
linha 11: Multiple empty lines are not allowed
linha 12: Multiple empty lines are not allowed
linha 15: Wrong indentation for "Step", expected indentation level of 2, but got 4
linha 16: Wrong indentation for "Step", expected indentation level of 2, but got 4
linha 17: Wrong indentation for "Step", expected indentation level of 2, but got 4
linha 17: Step name is too long. Length of 223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22: Multiple empty lines are not allowed
linha 23: Multiple empty lines are not allowed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32: Multiple empty lines are not allowed
linha 33: Multiple empty lines are not allowed
linha 36: Wrong indentation for "Step", expected indentation level of 2, but got 4
linha 37: Wrong indentation for "Step", expected indentation level of 2, but got 4
linha 38: Wrong indentation for "Step", expected indentation level of 2, but got 4
linha 38: Step name is too long. Length of 88 is longer than the maximum allowed: 70
linha 39: Wrong indentation for "Step", expected indentation level of 2, but got 4
linha 40: Wrong indentation for "Step", expected indentation level of 2, but got 4
linha 42: Multiple empty lines are not allowed
linha 43: Multiple empty lines are not allowed
linha 46: Wrong indentation for "Step", expected indentation level of 2, but got 4
linha 47: Wrong indentation for "Step", expected indentation level of 2, but got 4
linha 48: Wrong indentation for "Step", expected indentation level of 2, but got 4
linha 48: Step name is too long. Length of 88 is longer than the maximum allowed: 70
linha 49: Wrong indentation for "Step", expected indentation level of 2, but got 4
linha 50: Wrong indentation for "Step", expected indentation level of 2, but got 4
linha 52: Multiple empty lines are not allowed
linha 53: Multiple empty lines are not allowed
linha 56: Wrong indentation for "Step", expected indentation level of 2, but got 4
linha 57: Wrong indentation for "Step", expected indentation level of 2, but got 4
linha 58: Wrong indentation for "Step", expected indentation level of 2, but got 4
linha 59: Wrong indentation for "Step", expected indentation level of 2, but got 4
linha 60: Wrong indentation for "Step", expected indentation level of 2, but got 4
linha 62: Multiple empty lines are not allowed
linha 63: Multiple empty lines are not allowed
linha 66: Wrong indentation for "Step", expected indentation level of 2, but got 4
linha 67: Wrong indentation for "Step", expected indentation level of 2, but got 4
linha 68: Wrong indentation for "Step", expected indentation level of 2, but got 4
linha 68: Step name is too long. Length of 88 is longer than the maximum allowed: 70
linha 69: Wrong indentation for "Step", expected indentation level of 2, but got 4
linha 70: Wrong indentation for "Step", expected indentation level of 2, but got 4
linha 72: Multiple empty lines are not allowed
linha 73: Multiple empty lines are not allowed
linha 76: Wrong indentation for "Step", expected indentation level of 2, but got 4
linha 77: Wrong indentation for "Step", expected indentation level of 2, but got 4
linha 78: Wrong indentation for "Step", expected indentation level of 2, but got 4
linha 79: Wrong indentation for "Step", expected indentation level of 2, but got 4
linha 80: Wrong indentation for "Step", expected indentation level of 2, but got 4
linha 81: Wrong indentation for "Step", expected indentation level of 2, but got 4
linha 82: Wrong indentation for "Step", expected indentation level of 2, but got 4
linha 84: Multiple empty lines are not allowed
linha 85: Multiple empty lines are not allowed</t>
  </si>
  <si>
    <t>linha 7: Step name is too long. Length of 196 is longer than the maximum allowed: 70
linha 11: Multiple empty lines are not allowed
linha 12: Multiple empty lines are not allowed
linha 17: Step name is too long. Length of 223 is longer than the maximum allowed: 70
linha 22: Multiple empty lines are not allowed
linha 23: Multiple empty lines are not allowed
linha 32: Multiple empty lines are not allowed
linha 33: Multiple empty lines are not allowed
linha 38: Step name is too long. Length of 88 is longer than the maximum allowed: 70
linha 42: Multiple empty lines are not allowed
linha 43: Multiple empty lines are not allowed
linha 48: Step name is too long. Length of 88 is longer than the maximum allowed: 70
linha 52: Multiple empty lines are not allowed
linha 53: Multiple empty lines are not allowed
linha 62: Multiple empty lines are not allowed
linha 63: Multiple empty lines are not allowed
linha 68: Step name is too long. Length of 88 is longer than the maximum allowed: 70
linha 72: Multiple empty lines are not allowed
linha 73: Multiple empty lines are not allowed
linha 84: Multiple empty lines are not allowed
linha 85: Multiple empty lines are not allowed</t>
  </si>
  <si>
    <t>linha 7: Step name is too long. Length of 196 is longer than the maximum allowed: 70
linha 17: Step name is too long. Length of 223 is longer than the maximum allowed: 70
linha 38: Step name is too long. Length of 88 is longer than the maximum allowed: 70
linha 48: Step name is too long. Length of 88 is longer than the maximum allowed: 70
linha 68: Step name is too long. Length of 88 is longer than the maximum allowed: 70</t>
  </si>
  <si>
    <t>linha 3: Element Scenario too long: actual 16, expected 15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9: Step "When I follow "Add a New Service"" should not appear after step using keyword then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14: Step "When I follow "Edit"" should not appear after step using keyword then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"When I follow "Delete"" should not appear after step using keyword then
linha 19: Wrong indentation for "Step", expected indentation level of 2, but got 4
linha 21: Multiple empty lines are not allowed
linha 22: Multiple empty lines are not allowed</t>
  </si>
  <si>
    <t>linha 3: Element Scenario too long: actual 16, expected 15
linha 9: Step "When I follow "Add a New Service"" should not appear after step using keyword then
linha 14: Step "When I follow "Edit"" should not appear after step using keyword then
linha 18: Step "When I follow "Delete"" should not appear after step using keyword then
linha 21: Multiple empty lines are not allowed
linha 22: Multiple empty lines are not allowed</t>
  </si>
  <si>
    <t>linha 3: Element Scenario too long: actual 16, expected 15
linha 9: Step "When I follow "Add a New Service"" should not appear after step using keyword then
linha 14: Step "When I follow "Edit"" should not appear after step using keyword then
linha 18: Step "When I follow "Delete"" should not appear after step using keyword then</t>
  </si>
  <si>
    <t>linha 3: Element Scenario too long: actual 16, expected 15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12: Step "When I follow "Edit"" should not appear after step using keyword then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"When I follow "Delete"" should not appear after step using keyword then
linha 19: Wrong indentation for "Step", expected indentation level of 2, but got 4
linha 21: Multiple empty lines are not allowed
linha 22: Multiple empty lines are not allowed</t>
  </si>
  <si>
    <t>linha 3: Element Scenario too long: actual 16, expected 15
linha 12: Step "When I follow "Edit"" should not appear after step using keyword then
linha 18: Step "When I follow "Delete"" should not appear after step using keyword then
linha 21: Multiple empty lines are not allowed
linha 22: Multiple empty lines are not allowed</t>
  </si>
  <si>
    <t>linha 3: Element Scenario too long: actual 16, expected 15
linha 12: Step "When I follow "Edit"" should not appear after step using keyword then
linha 18: Step "When I follow "Delete"" should not appear after step using keyword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</si>
  <si>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14: Multiple empty lines are not allowed
linha 15: Multiple empty lines are not allowed</t>
  </si>
  <si>
    <t>linha 14: Multiple empty lines are not allowed
linha 15: Multiple empty lines are not allowed</t>
  </si>
  <si>
    <t>linha 3: Element Scenario too long: actual 16, expected 15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"When I follow "New page"" should not appear after step using keyword then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17: Step "When I follow "general.delete" translation" should not appear after step using keyword then
linha 18: Wrong indentation for "Step", expected indentation level of 2, but got 4
linha 19: Wrong indentation for "Step", expected indentation level of 2, but got 4
linha 21: Multiple empty lines are not allowed
linha 22: Multiple empty lines are not allowed</t>
  </si>
  <si>
    <t>linha 3: Element Scenario too long: actual 16, expected 15
linha 13: Step "When I follow "New page"" should not appear after step using keyword then
linha 17: Step "When I follow "general.delete" translation" should not appear after step using keyword then
linha 21: Multiple empty lines are not allowed
linha 22: Multiple empty lines are not allowed</t>
  </si>
  <si>
    <t>linha 3: Element Scenario too long: actual 16, expected 15
linha 13: Step "When I follow "New page"" should not appear after step using keyword then
linha 17: Step "When I follow "general.delete" translation" should not appear after step using keyword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</si>
  <si>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8: Multiple empty lines are not allowed
linha 9: Multiple empty lines are not allowed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21: Multiple empty lines are not allowed
linha 22: Multiple empty lines are not allowed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33: Multiple empty lines are not allowed
linha 34: Multiple empty lines are not allowed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43: Multiple empty lines are not allowed
linha 44: Multiple empty lines are not allowed</t>
  </si>
  <si>
    <t>linha 8: Multiple empty lines are not allowed
linha 9: Multiple empty lines are not allowed
linha 21: Multiple empty lines are not allowed
linha 22: Multiple empty lines are not allowed
linha 33: Multiple empty lines are not allowed
linha 34: Multiple empty lines are not allowed
linha 43: Multiple empty lines are not allowed
linha 44: Multiple empty lines are not allowed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</si>
  <si>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12: Multiple empty lines are not allowed
linha 13: Multiple empty lines are not allowed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22: Multiple empty lines are not allowed
linha 23: Multiple empty lines are not allowed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33: Multiple empty lines are not allowed
linha 34: Multiple empty lines are not allowed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
linha 44: Multiple empty lines are not allowed
linha 45: Multiple empty lines are not allowed
linha 47: Wrong indentation for "Step", expected indentation level of 2, but got 4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54: Multiple empty lines are not allowed
linha 55: Multiple empty lines are not allowed
linha 57: Wrong indentation for "Step", expected indentation level of 2, but got 4
linha 58: Wrong indentation for "Step", expected indentation level of 2, but got 4
linha 59: Wrong indentation for "Step", expected indentation level of 2, but got 4
linha 61: Multiple empty lines are not allowed
linha 62: Multiple empty lines are not allowed
linha 64: Wrong indentation for "Step", expected indentation level of 2, but got 4
linha 65: Wrong indentation for "Step", expected indentation level of 2, but got 4
linha 66: Wrong indentation for "Step", expected indentation level of 2, but got 4
linha 67: Wrong indentation for "Step", expected indentation level of 2, but got 4
linha 68: Wrong indentation for "Step", expected indentation level of 2, but got 4
linha 69: Wrong indentation for "Step", expected indentation level of 2, but got 4
linha 71: Multiple empty lines are not allowed
linha 72: Multiple empty lines are not allowed
linha 74: Wrong indentation for "Step", expected indentation level of 2, but got 4
linha 75: Wrong indentation for "Step", expected indentation level of 2, but got 4
linha 76: Wrong indentation for "Step", expected indentation level of 2, but got 4
linha 77: Wrong indentation for "Step", expected indentation level of 2, but got 4
linha 78: Wrong indentation for "Step", expected indentation level of 2, but got 4
linha 79: Wrong indentation for "Step", expected indentation level of 2, but got 4
linha 81: Multiple empty lines are not allowed
linha 82: Multiple empty lines are not allowed
linha 84: Wrong indentation for "Step", expected indentation level of 2, but got 4
linha 85: Wrong indentation for "Step", expected indentation level of 2, but got 4
linha 86: Wrong indentation for "Step", expected indentation level of 2, but got 4
linha 87: Wrong indentation for "Step", expected indentation level of 2, but got 4
linha 88: Wrong indentation for "Step", expected indentation level of 2, but got 4
linha 89: Wrong indentation for "Step", expected indentation level of 2, but got 4
linha 91: Multiple empty lines are not allowed
linha 92: Multiple empty lines are not allowed
linha 94: Wrong indentation for "Step", expected indentation level of 2, but got 4
linha 95: Wrong indentation for "Step", expected indentation level of 2, but got 4
linha 96: Wrong indentation for "Step", expected indentation level of 2, but got 4
linha 97: Wrong indentation for "Step", expected indentation level of 2, but got 4
linha 98: Wrong indentation for "Step", expected indentation level of 2, but got 4
linha 99: Wrong indentation for "Step", expected indentation level of 2, but got 4
linha 101: Multiple empty lines are not allowed
linha 102: Multiple empty lines are not allowed</t>
  </si>
  <si>
    <t>linha 12: Multiple empty lines are not allowed
linha 13: Multiple empty lines are not allowed
linha 22: Multiple empty lines are not allowed
linha 23: Multiple empty lines are not allowed
linha 33: Multiple empty lines are not allowed
linha 34: Multiple empty lines are not allowed
linha 44: Multiple empty lines are not allowed
linha 45: Multiple empty lines are not allowed
linha 54: Multiple empty lines are not allowed
linha 55: Multiple empty lines are not allowed
linha 61: Multiple empty lines are not allowed
linha 62: Multiple empty lines are not allowed
linha 71: Multiple empty lines are not allowed
linha 72: Multiple empty lines are not allowed
linha 81: Multiple empty lines are not allowed
linha 82: Multiple empty lines are not allowed
linha 91: Multiple empty lines are not allowed
linha 92: Multiple empty lines are not allowed
linha 101: Multiple empty lines are not allowed
linha 102: Multiple empty lines are not allowed</t>
  </si>
  <si>
    <t>linha 1: Feature name is too long. Length of 51 is longer than the maximum allowed: 50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12: Multiple empty lines are not allowed
linha 13: Multiple empty lines are not allowed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81 is longer than the maximum allowed: 70
linha 21: Wrong indentation for "Step", expected indentation level of 2, but got 4
linha 21: Step name is too long. Length of 84 is longer than the maximum allowed: 70
linha 22: Wrong indentation for "Step", expected indentation level of 2, but got 4
linha 23: Wrong indentation for "Step", expected indentation level of 2, but got 4
linha 23: Step name is too long. Length of 73 is longer than the maximum allowed: 70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29: Multiple empty lines are not allowed
linha 30: Multiple empty lines are not allowed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37: Multiple empty lines are not allowed
linha 38: Multiple empty lines are not allowed
linha 40: Wrong indentation for "Step", expected indentation level of 2, but got 4
linha 41: Wrong indentation for "Step", expected indentation level of 2, but got 4
linha 42: Wrong indentation for "Step", expected indentation level of 2, but got 4
linha 43: Wrong indentation for "Step", expected indentation level of 2, but got 4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53: Multiple empty lines are not allowed
linha 54: Multiple empty lines are not allowed
linha 56: Wrong indentation for "Step", expected indentation level of 2, but got 4
linha 57: Wrong indentation for "Step", expected indentation level of 2, but got 4
linha 58: Wrong indentation for "Step", expected indentation level of 2, but got 4
linha 59: Wrong indentation for "Step", expected indentation level of 2, but got 4
linha 60: Wrong indentation for "Step", expected indentation level of 2, but got 4
linha 61: Wrong indentation for "Step", expected indentation level of 2, but got 4
linha 63: Multiple empty lines are not allowed
linha 64: Multiple empty lines are not allowed</t>
  </si>
  <si>
    <t>linha 1: Feature name is too long. Length of 51 is longer than the maximum allowed: 50
linha 12: Multiple empty lines are not allowed
linha 13: Multiple empty lines are not allowed
linha 20: Step name is too long. Length of 81 is longer than the maximum allowed: 70
linha 21: Step name is too long. Length of 84 is longer than the maximum allowed: 70
linha 23: Step name is too long. Length of 73 is longer than the maximum allowed: 70
linha 29: Multiple empty lines are not allowed
linha 30: Multiple empty lines are not allowed
linha 37: Multiple empty lines are not allowed
linha 38: Multiple empty lines are not allowed
linha 53: Multiple empty lines are not allowed
linha 54: Multiple empty lines are not allowed
linha 63: Multiple empty lines are not allowed
linha 64: Multiple empty lines are not allowed</t>
  </si>
  <si>
    <t>linha 1: Feature name is too long. Length of 51 is longer than the maximum allowed: 50
linha 20: Step name is too long. Length of 81 is longer than the maximum allowed: 70
linha 21: Step name is too long. Length of 84 is longer than the maximum allowed: 70
linha 23: Step name is too long. Length of 73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</si>
  <si>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9: Multiple empty lines are not allowed
linha 10: Multiple empty lines are not allowed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19: Multiple empty lines are not allowed
linha 20: Multiple empty lines are not allowed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29: Multiple empty lines are not allowed
linha 30: Multiple empty lines are not allowed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39: Multiple empty lines are not allowed
linha 40: Multiple empty lines are not allowed
linha 42: Wrong indentation for "Step", expected indentation level of 2, but got 4
linha 43: Wrong indentation for "Step", expected indentation level of 2, but got 4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49: Multiple empty lines are not allowed
linha 50: Multiple empty lines are not allowed
linha 52: Wrong indentation for "Step", expected indentation level of 2, but got 4
linha 53: Wrong indentation for "Step", expected indentation level of 2, but got 4
linha 54: Wrong indentation for "Step", expected indentation level of 2, but got 4
linha 55: Wrong indentation for "Step", expected indentation level of 2, but got 4
linha 56: Wrong indentation for "Step", expected indentation level of 2, but got 4
linha 58: Multiple empty lines are not allowed
linha 59: Multiple empty lines are not allowed
linha 61: Wrong indentation for "Step", expected indentation level of 2, but got 4
linha 62: Wrong indentation for "Step", expected indentation level of 2, but got 4
linha 63: Wrong indentation for "Step", expected indentation level of 2, but got 4
linha 64: Wrong indentation for "Step", expected indentation level of 2, but got 4
linha 65: Wrong indentation for "Step", expected indentation level of 2, but got 4
linha 67: Multiple empty lines are not allowed
linha 68: Multiple empty lines are not allowed
linha 70: Wrong indentation for "Step", expected indentation level of 2, but got 4
linha 71: Wrong indentation for "Step", expected indentation level of 2, but got 4
linha 72: Wrong indentation for "Step", expected indentation level of 2, but got 4
linha 73: Wrong indentation for "Step", expected indentation level of 2, but got 4
linha 74: Wrong indentation for "Step", expected indentation level of 2, but got 4
linha 75: Wrong indentation for "Step", expected indentation level of 2, but got 4
linha 77: Multiple empty lines are not allowed
linha 78: Multiple empty lines are not allowed
linha 80: Wrong indentation for "Step", expected indentation level of 2, but got 4
linha 81: Wrong indentation for "Step", expected indentation level of 2, but got 4
linha 82: Wrong indentation for "Step", expected indentation level of 2, but got 4
linha 83: Wrong indentation for "Step", expected indentation level of 2, but got 4
linha 84: Wrong indentation for "Step", expected indentation level of 2, but got 4
linha 86: Multiple empty lines are not allowed
linha 87: Multiple empty lines are not allowed</t>
  </si>
  <si>
    <t>linha 9: Multiple empty lines are not allowed
linha 10: Multiple empty lines are not allowed
linha 19: Multiple empty lines are not allowed
linha 20: Multiple empty lines are not allowed
linha 29: Multiple empty lines are not allowed
linha 30: Multiple empty lines are not allowed
linha 39: Multiple empty lines are not allowed
linha 40: Multiple empty lines are not allowed
linha 49: Multiple empty lines are not allowed
linha 50: Multiple empty lines are not allowed
linha 58: Multiple empty lines are not allowed
linha 59: Multiple empty lines are not allowed
linha 67: Multiple empty lines are not allowed
linha 68: Multiple empty lines are not allowed
linha 77: Multiple empty lines are not allowed
linha 78: Multiple empty lines are not allowed
linha 86: Multiple empty lines are not allowed
linha 87: Multiple empty lines are not allowed</t>
  </si>
  <si>
    <t>linha 3: Element Scenario too long: actual 21, expected 15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10: Step "When I fill in "Query" with "nothing to see here"" should not appear after step using keyword then
linha 11: Wrong indentation for "Step", expected indentation level of 2, but got 4
linha 12: Wrong indentation for "Step", expected indentation level of 2, but got 4
linha 13: Wrong indentation for "Step", expected indentation level of 2, but got 4
linha 13: Step "When I follow "Clicks"" should not appear after step using keyword then
linha 14: Wrong indentation for "Step", expected indentation level of 2, but got 4
linha 15: Wrong indentation for "Step", expected indentation level of 2, but got 4
linha 16: Wrong indentation for "Step", expected indentation level of 2, but got 4
linha 16: Step name is too long. Length of 75 is longer than the maximum allowed: 70
linha 16: Step "Then I should see "Your site has not received any clicks on search results yet."" should use And instead of Then
linha 17: Wrong indentation for "Step", expected indentation level of 2, but got 4
linha 17: Step "When I follow "Referrers"" should not appear after step using keyword then
linha 18: Wrong indentation for "Step", expected indentation level of 2, but got 4
linha 19: Wrong indentation for "Step", expected indentation level of 2, but got 4
linha 19: Step name is too long. Length of 73 is longer than the maximum allowed: 70
linha 20: Wrong indentation for "Step", expected indentation level of 2, but got 4
linha 20: Step "When I follow "Monthly Reports"" should not appear after step using keyword then
linha 21: Wrong indentation for "Step", expected indentation level of 2, but got 4
linha 22: Wrong indentation for "Step", expected indentation level of 2, but got 4
linha 22: Step "When I download the top monthly queries report" should not appear after step using keyword then
linha 23: Wrong indentation for "Step", expected indentation level of 2, but got 4
linha 24: Wrong indentation for "Step", expected indentation level of 2, but got 4
linha 26: Multiple empty lines are not allowed
linha 27: Multiple empty lines are not allowed</t>
  </si>
  <si>
    <t>linha 3: Element Scenario too long: actual 21, expected 15
linha 10: Step "When I fill in "Query" with "nothing to see here"" should not appear after step using keyword then
linha 13: Step "When I follow "Clicks"" should not appear after step using keyword then
linha 16: Step name is too long. Length of 75 is longer than the maximum allowed: 70
linha 16: Step "Then I should see "Your site has not received any clicks on search results yet."" should use And instead of Then
linha 17: Step "When I follow "Referrers"" should not appear after step using keyword then
linha 19: Step name is too long. Length of 73 is longer than the maximum allowed: 70
linha 20: Step "When I follow "Monthly Reports"" should not appear after step using keyword then
linha 22: Step "When I download the top monthly queries report" should not appear after step using keyword then
linha 26: Multiple empty lines are not allowed
linha 27: Multiple empty lines are not allowed</t>
  </si>
  <si>
    <t>linha 3: Element Scenario too long: actual 21, expected 15
linha 10: Step "When I fill in "Query" with "nothing to see here"" should not appear after step using keyword then
linha 13: Step "When I follow "Clicks"" should not appear after step using keyword then
linha 16: Step name is too long. Length of 75 is longer than the maximum allowed: 70
linha 16: Step "Then I should see "Your site has not received any clicks on search results yet."" should use And instead of Then
linha 17: Step "When I follow "Referrers"" should not appear after step using keyword then
linha 19: Step name is too long. Length of 73 is longer than the maximum allowed: 70
linha 20: Step "When I follow "Monthly Reports"" should not appear after step using keyword then
linha 22: Step "When I download the top monthly queries report" should not appear after step using keyword then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</si>
  <si>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8: Step "When I attach the file "features/support/bulk_affiliate_styles_upload.csv" to "bulk_upload_affiliate_styles"" should not appear after step using keyword then
linha 8: Step name is too long. Length of 103 is longer than the maximum allowed: 70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"When I do not attach a file to "bulk_upload_affiliate_styles"" should not appear after step using keyword then
linha 14: Wrong indentation for "Step", expected indentation level of 2, but got 4
linha 15: Wrong indentation for "Step", expected indentation level of 2, but got 4
linha 16: Wrong indentation for "Step", expected indentation level of 2, but got 4
linha 18: Multiple empty lines are not allowed
linha 19: Multiple empty lines are not allowed</t>
  </si>
  <si>
    <t>linha 8: Step "When I attach the file "features/support/bulk_affiliate_styles_upload.csv" to "bulk_upload_affiliate_styles"" should not appear after step using keyword then
linha 8: Step name is too long. Length of 103 is longer than the maximum allowed: 70
linha 13: Step "When I do not attach a file to "bulk_upload_affiliate_styles"" should not appear after step using keyword then
linha 18: Multiple empty lines are not allowed
linha 19: Multiple empty lines are not allowed</t>
  </si>
  <si>
    <t>linha 8: Step "When I attach the file "features/support/bulk_affiliate_styles_upload.csv" to "bulk_upload_affiliate_styles"" should not appear after step using keyword then
linha 8: Step name is too long. Length of 103 is longer than the maximum allowed: 70
linha 13: Step "When I do not attach a file to "bulk_upload_affiliate_styles"" should not appear after step using keyword then</t>
  </si>
  <si>
    <t>linha 3: Element Scenario too long: actual 24, expected 15
linha 4: Wrong indentation for "Step", expected indentation level of 2, but got 4
linha 5: Wrong indentation for "Step", expected indentation level of 2, but got 4
linha 5: Step "Given I am logged in with email "affiliate_admin@fixtures.org"" should use And instead of Given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9: Step "When I fill in "affiliate_name" with "agency site"" should not appear after step using keyword then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"When I fill in "affiliate_name" with "usagov"" should not appear after step using keyword then
linha 14: Wrong indentation for "Step", expected indentation level of 2, but got 4
linha 15: Wrong indentation for "Step", expected indentation level of 2, but got 4
linha 16: Wrong indentation for "Step", expected indentation level of 2, but got 4
linha 16: Step name is too long. Length of 76 is longer than the maximum allowed: 70
linha 17: Wrong indentation for "Step", expected indentation level of 2, but got 4
linha 18: Wrong indentation for "Step", expected indentation level of 2, but got 4
linha 18: Step "Given there are 5 rss indexed documents for affiliate "usagov"" should not appear after step using keyword then
linha 19: Wrong indentation for "Step", expected indentation level of 2, but got 4
linha 19: Step "When I follow "Search for a different affiliate"" should not appear after step using keyword then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23: Step name is too long. Length of 76 is longer than the maximum allowed: 70
linha 24: Wrong indentation for "Step", expected indentation level of 2, but got 4
linha 25: Wrong indentation for "Step", expected indentation level of 2, but got 4
linha 25: Step "When I submit the form by pressing "Update Affiliate usagov"" should not appear after step using keyword then
linha 26: Wrong indentation for "Step", expected indentation level of 2, but got 4
linha 27: Wrong indentation for "Step", expected indentation level of 2, but got 4
linha 27: Step name is too long. Length of 72 is longer than the maximum allowed: 70
linha 29: Multiple empty lines are not allowed
linha 30: Multiple empty lines are not allowed</t>
  </si>
  <si>
    <t>linha 3: Element Scenario too long: actual 24, expected 15
linha 5: Step "Given I am logged in with email "affiliate_admin@fixtures.org"" should use And instead of Given
linha 9: Step "When I fill in "affiliate_name" with "agency site"" should not appear after step using keyword then
linha 13: Step "When I fill in "affiliate_name" with "usagov"" should not appear after step using keyword then
linha 16: Step name is too long. Length of 76 is longer than the maximum allowed: 70
linha 18: Step "Given there are 5 rss indexed documents for affiliate "usagov"" should not appear after step using keyword then
linha 19: Step "When I follow "Search for a different affiliate"" should not appear after step using keyword then
linha 23: Step name is too long. Length of 76 is longer than the maximum allowed: 70
linha 25: Step "When I submit the form by pressing "Update Affiliate usagov"" should not appear after step using keyword then
linha 27: Step name is too long. Length of 72 is longer than the maximum allowed: 70
linha 29: Multiple empty lines are not allowed
linha 30: Multiple empty lines are not allowed</t>
  </si>
  <si>
    <t>linha 3: Element Scenario too long: actual 24, expected 15
linha 5: Step "Given I am logged in with email "affiliate_admin@fixtures.org"" should use And instead of Given
linha 9: Step "When I fill in "affiliate_name" with "agency site"" should not appear after step using keyword then
linha 13: Step "When I fill in "affiliate_name" with "usagov"" should not appear after step using keyword then
linha 16: Step name is too long. Length of 76 is longer than the maximum allowed: 70
linha 18: Step "Given there are 5 rss indexed documents for affiliate "usagov"" should not appear after step using keyword then
linha 19: Step "When I follow "Search for a different affiliate"" should not appear after step using keyword then
linha 23: Step name is too long. Length of 76 is longer than the maximum allowed: 70
linha 25: Step "When I submit the form by pressing "Update Affiliate usagov"" should not appear after step using keyword then
linha 27: Step name is too long. Length of 72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</si>
  <si>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9: Multiple empty lines are not allowed
linha 10: Multiple empty lines are not allowed</t>
  </si>
  <si>
    <t>linha 9: Multiple empty lines are not allowed
linha 10: Multiple empty lines are not allowed</t>
  </si>
  <si>
    <t>linha 5: Wrong indentation for "Step", expected indentation level of 2, but got 4
linha 6: Wrong indentation for "Step", expected indentation level of 2, but got 4
linha 8: Multiple empty lines are not allowed
linha 9: Multiple empty lines are not allowed
linha 12: Wrong indentation for "Step", expected indentation level of 2, but got 4
linha 13: Wrong indentation for "Step", expected indentation level of 2, but got 4
linha 13: Step name is too long. Length of 74 is longer than the maximum allowed: 70
linha 15: Multiple empty lines are not allowed
linha 16: Multiple empty lines are not allowed</t>
  </si>
  <si>
    <t>linha 8: Multiple empty lines are not allowed
linha 9: Multiple empty lines are not allowed
linha 13: Step name is too long. Length of 74 is longer than the maximum allowed: 70
linha 15: Multiple empty lines are not allowed
linha 16: Multiple empty lines are not allowed</t>
  </si>
  <si>
    <t>linha 13: Step name is too long. Length of 74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</si>
  <si>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11: Multiple empty lines are not allowed
linha 12: Multiple empty lines are not allowed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21: Multiple empty lines are not allowed
linha 22: Multiple empty lines are not allowed</t>
  </si>
  <si>
    <t>linha 11: Multiple empty lines are not allowed
linha 12: Multiple empty lines are not allowed
linha 21: Multiple empty lines are not allowed
linha 22: Multiple empty lines are not allowed</t>
  </si>
  <si>
    <t>linha 1: Feature name is too long. Length of 66 is longer than the maximum allowed: 50
linha 5: Wrong indentation for "Step", expected indentation level of 2, but got 4
linha 6: Wrong indentation for "Step", expected indentation level of 2, but got 4
linha 8: Multiple empty lines are not allowed
linha 9: Multiple empty lines are not allowed
linha 10: Scenario name is too long. Length of 76 is longer than the maximum allowed: 70
linha 12: Wrong indentation for "Step", expected indentation level of 2, but got 4
linha 12: Step name is too long. Length of 124 is longer than the maximum allowed: 70
linha 13: Wrong indentation for "Step", expected indentation level of 2, but got 4
linha 13: Step name is too long. Length of 113 is longer than the maximum allowed: 70
linha 14: Wrong indentation for "Step", expected indentation level of 2, but got 4
linha 15: Wrong indentation for "Step", expected indentation level of 2, but got 4
linha 17: Multiple empty lines are not allowed
linha 18: Multiple empty lines are not allowed
linha 19: Scenario name is too long. Length of 92 is longer than the maximum allowed: 70
linha 21: Wrong indentation for "Step", expected indentation level of 2, but got 4
linha 21: Step name is too long. Length of 123 is longer than the maximum allowed: 70
linha 22: Wrong indentation for "Step", expected indentation level of 2, but got 4
linha 22: Step name is too long. Length of 113 is longer than the maximum allowed: 70
linha 23: Wrong indentation for "Step", expected indentation level of 2, but got 4
linha 24: Wrong indentation for "Step", expected indentation level of 2, but got 4
linha 24: Step name is too long. Length of 100 is longer than the maximum allowed: 70
linha 26: Multiple empty lines are not allowed
linha 27: Multiple empty lines are not allowed
linha 28: Scenario name is too long. Length of 92 is longer than the maximum allowed: 70
linha 30: Wrong indentation for "Step", expected indentation level of 2, but got 4
linha 30: Step name is too long. Length of 124 is longer than the maximum allowed: 70
linha 31: Wrong indentation for "Step", expected indentation level of 2, but got 4
linha 31: Step name is too long. Length of 113 is longer than the maximum allowed: 70
linha 32: Wrong indentation for "Step", expected indentation level of 2, but got 4
linha 33: Wrong indentation for "Step", expected indentation level of 2, but got 4
linha 33: Step name is too long. Length of 95 is longer than the maximum allowed: 70
linha 35: Multiple empty lines are not allowed
linha 36: Multiple empty lines are not allowed</t>
  </si>
  <si>
    <t>linha 1: Feature name is too long. Length of 66 is longer than the maximum allowed: 50
linha 8: Multiple empty lines are not allowed
linha 9: Multiple empty lines are not allowed
linha 10: Scenario name is too long. Length of 76 is longer than the maximum allowed: 70
linha 12: Step name is too long. Length of 124 is longer than the maximum allowed: 70
linha 13: Step name is too long. Length of 113 is longer than the maximum allowed: 70
linha 17: Multiple empty lines are not allowed
linha 18: Multiple empty lines are not allowed
linha 19: Scenario name is too long. Length of 92 is longer than the maximum allowed: 70
linha 21: Step name is too long. Length of 123 is longer than the maximum allowed: 70
linha 22: Step name is too long. Length of 113 is longer than the maximum allowed: 70
linha 24: Step name is too long. Length of 100 is longer than the maximum allowed: 70
linha 26: Multiple empty lines are not allowed
linha 27: Multiple empty lines are not allowed
linha 28: Scenario name is too long. Length of 92 is longer than the maximum allowed: 70
linha 30: Step name is too long. Length of 124 is longer than the maximum allowed: 70
linha 31: Step name is too long. Length of 113 is longer than the maximum allowed: 70
linha 33: Step name is too long. Length of 95 is longer than the maximum allowed: 70
linha 35: Multiple empty lines are not allowed
linha 36: Multiple empty lines are not allowed</t>
  </si>
  <si>
    <t>linha 1: Feature name is too long. Length of 66 is longer than the maximum allowed: 50
linha 10: Scenario name is too long. Length of 76 is longer than the maximum allowed: 70
linha 12: Step name is too long. Length of 124 is longer than the maximum allowed: 70
linha 13: Step name is too long. Length of 113 is longer than the maximum allowed: 70
linha 19: Scenario name is too long. Length of 92 is longer than the maximum allowed: 70
linha 21: Step name is too long. Length of 123 is longer than the maximum allowed: 70
linha 22: Step name is too long. Length of 113 is longer than the maximum allowed: 70
linha 24: Step name is too long. Length of 100 is longer than the maximum allowed: 70
linha 28: Scenario name is too long. Length of 92 is longer than the maximum allowed: 70
linha 30: Step name is too long. Length of 124 is longer than the maximum allowed: 70
linha 31: Step name is too long. Length of 113 is longer than the maximum allowed: 70
linha 33: Step name is too long. Length of 95 is longer than the maximum allowed: 70</t>
  </si>
  <si>
    <t>linha 1: Feature name is too long. Length of 52 is longer than the maximum allowed: 50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79 is longer than the maximum allowed: 70
linha 8: Wrong indentation for "Step", expected indentation level of 2, but got 4
linha 8: Step name is too long. Length of 71 is longer than the maximum allowed: 70
linha 10: Multiple empty lines are not allowed
linha 11: Multiple empty lines are not allowed
linha 14: Wrong indentation for "Step", expected indentation level of 2, but got 4
linha 15: Wrong indentation for "Step", expected indentation level of 2, but got 4
linha 16: Wrong indentation for "Step", expected indentation level of 2, but got 4
linha 18: Multiple empty lines are not allowed
linha 19: Multiple empty lines are not allowed
linha 22: Wrong indentation for "Step", expected indentation level of 2, but got 4
linha 23: Wrong indentation for "Step", expected indentation level of 2, but got 4
linha 24: Wrong indentation for "Step", expected indentation level of 2, but got 4
linha 26: Multiple empty lines are not allowed
linha 27: Multiple empty lines are not allowed</t>
  </si>
  <si>
    <t>linha 1: Feature name is too long. Length of 52 is longer than the maximum allowed: 50
linha 7: Step name is too long. Length of 79 is longer than the maximum allowed: 70
linha 8: Step name is too long. Length of 71 is longer than the maximum allowed: 70
linha 10: Multiple empty lines are not allowed
linha 11: Multiple empty lines are not allowed
linha 18: Multiple empty lines are not allowed
linha 19: Multiple empty lines are not allowed
linha 26: Multiple empty lines are not allowed
linha 27: Multiple empty lines are not allowed</t>
  </si>
  <si>
    <t>linha 1: Feature name is too long. Length of 52 is longer than the maximum allowed: 50
linha 7: Step name is too long. Length of 79 is longer than the maximum allowed: 70
linha 8: Step name is too long. Length of 71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</si>
  <si>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10: Step name is too long. Length of 78 is longer than the maximum allowed: 70
linha 11: Wrong indentation for "Step", expected indentation level of 2, but got 4
linha 13: Multiple empty lines are not allowed
linha 14: Multiple empty lines are not allowed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21: Step name is too long. Length of 78 is longer than the maximum allowed: 70
linha 22: Wrong indentation for "Step", expected indentation level of 2, but got 4
linha 24: Multiple empty lines are not allowed
linha 25: Multiple empty lines are not allowed</t>
  </si>
  <si>
    <t>linha 10: Step name is too long. Length of 78 is longer than the maximum allowed: 70
linha 13: Multiple empty lines are not allowed
linha 14: Multiple empty lines are not allowed
linha 21: Step name is too long. Length of 78 is longer than the maximum allowed: 70
linha 24: Multiple empty lines are not allowed
linha 25: Multiple empty lines are not allowed</t>
  </si>
  <si>
    <t>linha 10: Step name is too long. Length of 78 is longer than the maximum allowed: 70
linha 21: Step name is too long. Length of 78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</si>
  <si>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11: Step name is too long. Length of 78 is longer than the maximum allowed: 70
linha 12: Wrong indentation for "Step", expected indentation level of 2, but got 4
linha 14: Multiple empty lines are not allowed
linha 15: Multiple empty lines are not allowed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22: Step name is too long. Length of 78 is longer than the maximum allowed: 70
linha 23: Wrong indentation for "Step", expected indentation level of 2, but got 4
linha 25: Multiple empty lines are not allowed
linha 26: Multiple empty lines are not allowed</t>
  </si>
  <si>
    <t>linha 11: Step name is too long. Length of 78 is longer than the maximum allowed: 70
linha 14: Multiple empty lines are not allowed
linha 15: Multiple empty lines are not allowed
linha 22: Step name is too long. Length of 78 is longer than the maximum allowed: 70
linha 25: Multiple empty lines are not allowed
linha 26: Multiple empty lines are not allowed</t>
  </si>
  <si>
    <t>linha 11: Step name is too long. Length of 78 is longer than the maximum allowed: 70
linha 22: Step name is too long. Length of 78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</si>
  <si>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11: Multiple empty lines are not allowed
linha 12: Multiple empty lines are not allowed</t>
  </si>
  <si>
    <t>linha 11: Multiple empty lines are not allowed
linha 12: Multiple empty lines are not allowed</t>
  </si>
  <si>
    <t>linha 3: Element Scenario too long: actual 49, expected 15
linha 4: Wrong indentation for "Step", expected indentation level of 2, but got 4
linha 5: Wrong indentation for "Step", expected indentation level of 2, but got 4
linha 6: Wrong indentation for "Step", expected indentation level of 2, but got 4
linha 6: Step "Given I open hyperlink "e1cib/list/Catalog.TaxRates"" should not appear after step using keyword when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17: Step name is too long. Length of 80 is longer than the maximum allowed: 70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80 is longer than the maximum allowed: 70
linha 31: Wrong indentation for "Step", expected indentation level of 2, but got 4
linha 31: Step name is too long. Length of 71 is longer than the maximum allowed: 70
linha 31: Step "Then the form attribute named "Description_en" became equal to "Without VAT"" should use And instead of Then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
linha 43: Wrong indentation for "Step", expected indentation level of 2, but got 4
linha 43: Step name is too long. Length of 80 is longer than the maximum allowed: 70
linha 44: Wrong indentation for "Step", expected indentation level of 2, but got 4
linha 44: Step "Then the form attribute named "Description_en" became equal to "0%"" should use And instead of Then
linha 45: Wrong indentation for "Step", expected indentation level of 2, but got 4
linha 46: Wrong indentation for "Step", expected indentation level of 2, but got 4
linha 47: Wrong indentation for "Step", expected indentation level of 2, but got 4
linha 48: Wrong indentation for "Step", expected indentation level of 2, but got 4
linha 48: Step name is too long. Length of 73 is longer than the maximum allowed: 70
linha 48: Step "Then I check for the "TaxRates" catalog element with the "Description_en" "8%"" should use And instead of Then
linha 49: Wrong indentation for "Step", expected indentation level of 2, but got 4
linha 49: Step name is too long. Length of 76 is longer than the maximum allowed: 70
linha 49: Step "Then I check for the "TaxRates" catalog element with the "Description_tr" "8% TR"" should use And instead of Then
linha 50: Wrong indentation for "Step", expected indentation level of 2, but got 4
linha 50: Step name is too long. Length of 76 is longer than the maximum allowed: 70
linha 50: Step "Then I check for the "TaxRates" catalog element with the "Description_ru" "8% RU"" should use And instead of Then
linha 51: Wrong indentation for "Step", expected indentation level of 2, but got 4
linha 51: Step name is too long. Length of 82 is longer than the maximum allowed: 70
linha 51: Step "Then I check for the "TaxRates" catalog element with the "Description_en" "Without VAT"" should use And instead of Then
linha 52: Wrong indentation for "Step", expected indentation level of 2, but got 4
linha 52: Step name is too long. Length of 73 is longer than the maximum allowed: 70
linha 52: Step "Then I check for the "TaxRates" catalog element with the "Description_en" "0%"" should use And instead of Then
linha 54: Multiple empty lines are not allowed
linha 55: Multiple empty lines are not allowed</t>
  </si>
  <si>
    <t>linha 3: Element Scenario too long: actual 49, expected 15
linha 6: Step "Given I open hyperlink "e1cib/list/Catalog.TaxRates"" should not appear after step using keyword when
linha 17: Step name is too long. Length of 80 is longer than the maximum allowed: 70
linha 30: Step name is too long. Length of 80 is longer than the maximum allowed: 70
linha 31: Step name is too long. Length of 71 is longer than the maximum allowed: 70
linha 31: Step "Then the form attribute named "Description_en" became equal to "Without VAT"" should use And instead of Then
linha 43: Step name is too long. Length of 80 is longer than the maximum allowed: 70
linha 44: Step "Then the form attribute named "Description_en" became equal to "0%"" should use And instead of Then
linha 48: Step name is too long. Length of 73 is longer than the maximum allowed: 70
linha 48: Step "Then I check for the "TaxRates" catalog element with the "Description_en" "8%"" should use And instead of Then
linha 49: Step name is too long. Length of 76 is longer than the maximum allowed: 70
linha 49: Step "Then I check for the "TaxRates" catalog element with the "Description_tr" "8% TR"" should use And instead of Then
linha 50: Step name is too long. Length of 76 is longer than the maximum allowed: 70
linha 50: Step "Then I check for the "TaxRates" catalog element with the "Description_ru" "8% RU"" should use And instead of Then
linha 51: Step name is too long. Length of 82 is longer than the maximum allowed: 70
linha 51: Step "Then I check for the "TaxRates" catalog element with the "Description_en" "Without VAT"" should use And instead of Then
linha 52: Step name is too long. Length of 73 is longer than the maximum allowed: 70
linha 52: Step "Then I check for the "TaxRates" catalog element with the "Description_en" "0%"" should use And instead of Then
linha 54: Multiple empty lines are not allowed
linha 55: Multiple empty lines are not allowed</t>
  </si>
  <si>
    <t>linha 3: Element Scenario too long: actual 49, expected 15
linha 6: Step "Given I open hyperlink "e1cib/list/Catalog.TaxRates"" should not appear after step using keyword when
linha 17: Step name is too long. Length of 80 is longer than the maximum allowed: 70
linha 30: Step name is too long. Length of 80 is longer than the maximum allowed: 70
linha 31: Step name is too long. Length of 71 is longer than the maximum allowed: 70
linha 31: Step "Then the form attribute named "Description_en" became equal to "Without VAT"" should use And instead of Then
linha 43: Step name is too long. Length of 80 is longer than the maximum allowed: 70
linha 44: Step "Then the form attribute named "Description_en" became equal to "0%"" should use And instead of Then
linha 48: Step name is too long. Length of 73 is longer than the maximum allowed: 70
linha 48: Step "Then I check for the "TaxRates" catalog element with the "Description_en" "8%"" should use And instead of Then
linha 49: Step name is too long. Length of 76 is longer than the maximum allowed: 70
linha 49: Step "Then I check for the "TaxRates" catalog element with the "Description_tr" "8% TR"" should use And instead of Then
linha 50: Step name is too long. Length of 76 is longer than the maximum allowed: 70
linha 50: Step "Then I check for the "TaxRates" catalog element with the "Description_ru" "8% RU"" should use And instead of Then
linha 51: Step name is too long. Length of 82 is longer than the maximum allowed: 70
linha 51: Step "Then I check for the "TaxRates" catalog element with the "Description_en" "Without VAT"" should use And instead of Then
linha 52: Step name is too long. Length of 73 is longer than the maximum allowed: 70
linha 52: Step "Then I check for the "TaxRates" catalog element with the "Description_en" "0%"" should use And instead of Then</t>
  </si>
  <si>
    <t>linha 3: Element Scenario too long: actual 19, expected 15
linha 4: Wrong indentation for "Step", expected indentation level of 2, but got 4
linha 5: Wrong indentation for "Step", expected indentation level of 2, but got 4
linha 6: Wrong indentation for "Step", expected indentation level of 2, but got 4
linha 6: Step "When Create catalog Currencies objects" should use And instead of When
linha 7: Wrong indentation for "Step", expected indentation level of 2, but got 4
linha 7: Step "When Create catalog IntegrationSettings objects" should use And instead of When
linha 8: Wrong indentation for "Step", expected indentation level of 2, but got 4
linha 9: Wrong indentation for "Step", expected indentation level of 2, but got 4
linha 9: Step "Given I open hyperlink "e1cib/list/ChartOfCharacteristicTypes.CurrencyMovementType"" should not appear after step using keyword when
linha 9: Step name is too long. Length of 77 is longer than the maximum allowed: 70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24: Multiple empty lines are not allowed
linha 25: Multiple empty lines are not allowed</t>
  </si>
  <si>
    <t>linha 3: Element Scenario too long: actual 19, expected 15
linha 6: Step "When Create catalog Currencies objects" should use And instead of When
linha 7: Step "When Create catalog IntegrationSettings objects" should use And instead of When
linha 9: Step "Given I open hyperlink "e1cib/list/ChartOfCharacteristicTypes.CurrencyMovementType"" should not appear after step using keyword when
linha 9: Step name is too long. Length of 77 is longer than the maximum allowed: 70
linha 24: Multiple empty lines are not allowed
linha 25: Multiple empty lines are not allowed</t>
  </si>
  <si>
    <t>linha 3: Element Scenario too long: actual 19, expected 15
linha 6: Step "When Create catalog Currencies objects" should use And instead of When
linha 7: Step "When Create catalog IntegrationSettings objects" should use And instead of When
linha 9: Step "Given I open hyperlink "e1cib/list/ChartOfCharacteristicTypes.CurrencyMovementType"" should not appear after step using keyword when
linha 9: Step name is too long. Length of 77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</si>
  <si>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"Given I open hyperlink "e1cib/list/Catalog.PaymentSchedules"" should not appear after step using keyword when
linha 7: Wrong indentation for "Step", expected indentation level of 2, but got 4
linha 8: Wrong indentation for "Step", expected indentation level of 2, but got 4
linha 9: Wrong indentation for "Step", expected indentation level of 2, but got 4
linha 9: Step name is too long. Length of 87 is longer than the maximum allowed: 70
linha 10: Wrong indentation for "Step", expected indentation level of 2, but got 4
linha 10: Step name is too long. Length of 86 is longer than the maximum allowed: 70
linha 10: Step "Then I check for the "PaymentSchedules" catalog element with the "Description_tr" "Test TR"" should use And instead of Then
linha 12: Multiple empty lines are not allowed
linha 13: Multiple empty lines are not allowed</t>
  </si>
  <si>
    <t>linha 6: Step "Given I open hyperlink "e1cib/list/Catalog.PaymentSchedules"" should not appear after step using keyword when
linha 9: Step name is too long. Length of 87 is longer than the maximum allowed: 70
linha 10: Step name is too long. Length of 86 is longer than the maximum allowed: 70
linha 10: Step "Then I check for the "PaymentSchedules" catalog element with the "Description_tr" "Test TR"" should use And instead of Then
linha 12: Multiple empty lines are not allowed
linha 13: Multiple empty lines are not allowed</t>
  </si>
  <si>
    <t>linha 6: Step "Given I open hyperlink "e1cib/list/Catalog.PaymentSchedules"" should not appear after step using keyword when
linha 9: Step name is too long. Length of 87 is longer than the maximum allowed: 70
linha 10: Step name is too long. Length of 86 is longer than the maximum allowed: 70
linha 10: Step "Then I check for the "PaymentSchedules" catalog element with the "Description_tr" "Test TR"" should use And instead of Then</t>
  </si>
  <si>
    <t>linha 3: Element Scenario too long: actual 26, expected 15
linha 4: Wrong indentation for "Step", expected indentation level of 2, but got 4
linha 5: Wrong indentation for "Step", expected indentation level of 2, but got 4
linha 6: Wrong indentation for "Step", expected indentation level of 2, but got 4
linha 6: Step "When Create catalog ItemKeys objects" should use And instead of When
linha 7: Wrong indentation for "Step", expected indentation level of 2, but got 4
linha 7: Step "When Create catalog ItemTypes objects" should use And instead of When
linha 8: Wrong indentation for "Step", expected indentation level of 2, but got 4
linha 8: Step "When Create catalog Units objects" should use And instead of When
linha 9: Wrong indentation for "Step", expected indentation level of 2, but got 4
linha 9: Step "When Create catalog Items objects" should use And instead of When
linha 10: Wrong indentation for "Step", expected indentation level of 2, but got 4
linha 10: Step "When Create catalog Specifications objects" should use And instead of When
linha 11: Wrong indentation for "Step", expected indentation level of 2, but got 4
linha 11: Step "When Create chart of characteristic types AddAttributeAndProperty objects" should use And instead of When
linha 12: Wrong indentation for "Step", expected indentation level of 2, but got 4
linha 12: Step "When Create catalog AddAttributeAndPropertySets objects" should use And instead of When
linha 13: Wrong indentation for "Step", expected indentation level of 2, but got 4
linha 13: Step "When Create catalog AddAttributeAndPropertyValues objects" should use And instead of When
linha 14: Wrong indentation for "Step", expected indentation level of 2, but got 4
linha 14: Step "When Create catalog Companies objects (Main company)" should use And instead of When
linha 15: Wrong indentation for "Step", expected indentation level of 2, but got 4
linha 15: Step "When Create catalog PriceTypes objects" should use And instead of When
linha 16: Wrong indentation for "Step", expected indentation level of 2, but got 4
linha 16: Step "When Create catalog Currencies objects" should use And instead of When
linha 17: Wrong indentation for "Step", expected indentation level of 2, but got 4
linha 17: Step "When Create catalog Partners objects (Ferron BP)" should use And instead of When
linha 18: Wrong indentation for "Step", expected indentation level of 2, but got 4
linha 18: Step "When Create catalog Companies objects (partners company)" should use And instead of When
linha 19: Wrong indentation for "Step", expected indentation level of 2, but got 4
linha 19: Step "When Create catalog Countries objects" should use And instead of When
linha 20: Wrong indentation for "Step", expected indentation level of 2, but got 4
linha 20: Step "When Create information register PartnerSegments records" should use And instead of When
linha 21: Wrong indentation for "Step", expected indentation level of 2, but got 4
linha 21: Step "When Create catalog PartnerSegments objects" should use And instead of When
linha 22: Wrong indentation for "Step", expected indentation level of 2, but got 4
linha 22: Step "When Create catalog Agreements objects" should use And instead of When
linha 23: Wrong indentation for "Step", expected indentation level of 2, but got 4
linha 23: Step "When Create chart of characteristic types CurrencyMovementType objects" should use And instead of When
linha 24: Wrong indentation for "Step", expected indentation level of 2, but got 4
linha 24: Step "When Create catalog TaxRates objects" should use And instead of When
linha 25: Wrong indentation for "Step", expected indentation level of 2, but got 4
linha 25: Step "When Create catalog Taxes objects" should use And instead of When
linha 26: Wrong indentation for "Step", expected indentation level of 2, but got 4
linha 26: Step "When Create information register TaxSettings records" should use And instead of When
linha 27: Wrong indentation for "Step", expected indentation level of 2, but got 4
linha 27: Step "When Create catalog IntegrationSettings objects" should use And instead of When
linha 28: Wrong indentation for "Step", expected indentation level of 2, but got 4
linha 28: Step "When Create information register CurrencyRates records" should use And instead of When
linha 29: Wrong indentation for "Step", expected indentation level of 2, but got 4
linha 29: Step "When Create information register Taxes records (VAT)" should use And instead of When
linha 31: Multiple empty lines are not allowed
linha 32: Multiple empty lines are not allowed
linha 34: Wrong indentation for "Step", expected indentation level of 2, but got 4
linha 36: Multiple empty lines are not allowed
linha 37: Multiple empty lines are not allowed
linha 38: Scenario name is too long. Length of 154 is longer than the maximum allowed: 70
linha 38: Element Scenario too long: actual 30, expected 15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
linha 43: Wrong indentation for "Step", expected indentation level of 2, but got 4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53: Wrong indentation for "Step", expected indentation level of 2, but got 4
linha 54: Wrong indentation for "Step", expected indentation level of 2, but got 4
linha 55: Wrong indentation for "Step", expected indentation level of 2, but got 4
linha 56: Wrong indentation for "Step", expected indentation level of 2, but got 4
linha 57: Wrong indentation for "Step", expected indentation level of 2, but got 4
linha 58: Wrong indentation for "Step", expected indentation level of 2, but got 4
linha 59: Wrong indentation for "Step", expected indentation level of 2, but got 4
linha 60: Wrong indentation for "Step", expected indentation level of 2, but got 4
linha 61: Wrong indentation for "Step", expected indentation level of 2, but got 4
linha 62: Wrong indentation for "Step", expected indentation level of 2, but got 4
linha 63: Wrong indentation for "Step", expected indentation level of 2, but got 4
linha 64: Wrong indentation for "Step", expected indentation level of 2, but got 4
linha 65: Wrong indentation for "Step", expected indentation level of 2, but got 4
linha 66: Wrong indentation for "Step", expected indentation level of 2, but got 4
linha 67: Wrong indentation for "Step", expected indentation level of 2, but got 4
linha 68: Wrong indentation for "Step", expected indentation level of 2, but got 4
linha 70: Multiple empty lines are not allowed
linha 71: Multiple empty lines are not allowed
linha 72: Scenario name is too long. Length of 145 is longer than the maximum allowed: 70
linha 72: Element Scenario too long: actual 31, expected 15
linha 73: Wrong indentation for "Step", expected indentation level of 2, but got 4
linha 73: Step name is too long. Length of 87 is longer than the maximum allowed: 70
linha 74: Wrong indentation for "Step", expected indentation level of 2, but got 4
linha 74: Step "Given I open hyperlink "e1cib/list/Document.Unbundling"" should not appear after step using keyword when
linha 75: Wrong indentation for "Step", expected indentation level of 2, but got 4
linha 76: Wrong indentation for "Step", expected indentation level of 2, but got 4
linha 77: Wrong indentation for "Step", expected indentation level of 2, but got 4
linha 78: Wrong indentation for "Step", expected indentation level of 2, but got 4
linha 79: Wrong indentation for "Step", expected indentation level of 2, but got 4
linha 80: Wrong indentation for "Step", expected indentation level of 2, but got 4
linha 81: Wrong indentation for "Step", expected indentation level of 2, but got 4
linha 82: Wrong indentation for "Step", expected indentation level of 2, but got 4
linha 83: Wrong indentation for "Step", expected indentation level of 2, but got 4
linha 84: Wrong indentation for "Step", expected indentation level of 2, but got 4
linha 85: Wrong indentation for "Step", expected indentation level of 2, but got 4
linha 86: Wrong indentation for "Step", expected indentation level of 2, but got 4
linha 87: Wrong indentation for "Step", expected indentation level of 2, but got 4
linha 88: Wrong indentation for "Step", expected indentation level of 2, but got 4
linha 89: Wrong indentation for "Step", expected indentation level of 2, but got 4
linha 90: Wrong indentation for "Step", expected indentation level of 2, but got 4
linha 91: Wrong indentation for "Step", expected indentation level of 2, but got 4
linha 92: Wrong indentation for "Step", expected indentation level of 2, but got 4
linha 93: Wrong indentation for "Step", expected indentation level of 2, but got 4
linha 94: Wrong indentation for "Step", expected indentation level of 2, but got 4
linha 95: Wrong indentation for "Step", expected indentation level of 2, but got 4
linha 96: Wrong indentation for "Step", expected indentation level of 2, but got 4
linha 97: Wrong indentation for "Step", expected indentation level of 2, but got 4
linha 98: Wrong indentation for "Step", expected indentation level of 2, but got 4
linha 99: Wrong indentation for "Step", expected indentation level of 2, but got 4
linha 100: Wrong indentation for "Step", expected indentation level of 2, but got 4
linha 101: Wrong indentation for "Step", expected indentation level of 2, but got 4
linha 102: Wrong indentation for "Step", expected indentation level of 2, but got 4
linha 103: Wrong indentation for "Step", expected indentation level of 2, but got 4
linha 105: Multiple empty lines are not allowed
linha 106: Multiple empty lines are not allowed
linha 107: Scenario name is too long. Length of 86 is longer than the maximum allowed: 70
linha 107: Element Scenario too long: actual 30, expected 15
linha 108: Wrong indentation for "Step", expected indentation level of 2, but got 4
linha 109: Wrong indentation for "Step", expected indentation level of 2, but got 4
linha 110: Wrong indentation for "Step", expected indentation level of 2, but got 4
linha 111: Wrong indentation for "Step", expected indentation level of 2, but got 4
linha 112: Wrong indentation for "Step", expected indentation level of 2, but got 4
linha 113: Wrong indentation for "Step", expected indentation level of 2, but got 4
linha 114: Wrong indentation for "Step", expected indentation level of 2, but got 4
linha 115: Wrong indentation for "Step", expected indentation level of 2, but got 4
linha 116: Wrong indentation for "Step", expected indentation level of 2, but got 4
linha 117: Wrong indentation for "Step", expected indentation level of 2, but got 4
linha 118: Wrong indentation for "Step", expected indentation level of 2, but got 4
linha 119: Wrong indentation for "Step", expected indentation level of 2, but got 4
linha 120: Wrong indentation for "Step", expected indentation level of 2, but got 4
linha 121: Wrong indentation for "Step", expected indentation level of 2, but got 4
linha 122: Wrong indentation for "Step", expected indentation level of 2, but got 4
linha 123: Wrong indentation for "Step", expected indentation level of 2, but got 4
linha 124: Wrong indentation for "Step", expected indentation level of 2, but got 4
linha 125: Wrong indentation for "Step", expected indentation level of 2, but got 4
linha 126: Wrong indentation for "Step", expected indentation level of 2, but got 4
linha 127: Wrong indentation for "Step", expected indentation level of 2, but got 4
linha 128: Wrong indentation for "Step", expected indentation level of 2, but got 4
linha 129: Wrong indentation for "Step", expected indentation level of 2, but got 4
linha 130: Wrong indentation for "Step", expected indentation level of 2, but got 4
linha 131: Wrong indentation for "Step", expected indentation level of 2, but got 4
linha 132: Wrong indentation for "Step", expected indentation level of 2, but got 4
linha 133: Wrong indentation for "Step", expected indentation level of 2, but got 4
linha 134: Wrong indentation for "Step", expected indentation level of 2, but got 4
linha 135: Wrong indentation for "Step", expected indentation level of 2, but got 4
linha 136: Wrong indentation for "Step", expected indentation level of 2, but got 4
linha 137: Wrong indentation for "Step", expected indentation level of 2, but got 4
linha 139: Multiple empty lines are not allowed
linha 140: Multiple empty lines are not allowed
linha 141: Scenario name is too long. Length of 125 is longer than the maximum allowed: 70
linha 141: Element Scenario too long: actual 40, expected 15
linha 142: Wrong indentation for "Step", expected indentation level of 2, but got 4
linha 143: Wrong indentation for "Step", expected indentation level of 2, but got 4
linha 144: Wrong indentation for "Step", expected indentation level of 2, but got 4
linha 145: Wrong indentation for "Step", expected indentation level of 2, but got 4
linha 146: Wrong indentation for "Step", expected indentation level of 2, but got 4
linha 147: Wrong indentation for "Step", expected indentation level of 2, but got 4
linha 148: Wrong indentation for "Step", expected indentation level of 2, but got 4
linha 149: Wrong indentation for "Step", expected indentation level of 2, but got 4
linha 150: Wrong indentation for "Step", expected indentation level of 2, but got 4
linha 151: Wrong indentation for "Step", expected indentation level of 2, but got 4
linha 152: Wrong indentation for "Step", expected indentation level of 2, but got 4
linha 152: Step "Given I open hyperlink "e1cib/list/Document.Unbundling"" should use And instead of Given
linha 153: Wrong indentation for "Step", expected indentation level of 2, but got 4
linha 154: Wrong indentation for "Step", expected indentation level of 2, but got 4
linha 155: Wrong indentation for "Step", expected indentation level of 2, but got 4
linha 156: Wrong indentation for "Step", expected indentation level of 2, but got 4
linha 157: Wrong indentation for "Step", expected indentation level of 2, but got 4
linha 158: Wrong indentation for "Step", expected indentation level of 2, but got 4
linha 159: Wrong indentation for "Step", expected indentation level of 2, but got 4
linha 160: Wrong indentation for "Step", expected indentation level of 2, but got 4
linha 161: Wrong indentation for "Step", expected indentation level of 2, but got 4
linha 162: Wrong indentation for "Step", expected indentation level of 2, but got 4
linha 163: Wrong indentation for "Step", expected indentation level of 2, but got 4
linha 164: Wrong indentation for "Step", expected indentation level of 2, but got 4
linha 165: Wrong indentation for "Step", expected indentation level of 2, but got 4
linha 166: Wrong indentation for "Step", expected indentation level of 2, but got 4
linha 167: Wrong indentation for "Step", expected indentation level of 2, but got 4
linha 168: Wrong indentation for "Step", expected indentation level of 2, but got 4
linha 169: Wrong indentation for "Step", expected indentation level of 2, but got 4
linha 170: Wrong indentation for "Step", expected indentation level of 2, but got 4
linha 171: Wrong indentation for "Step", expected indentation level of 2, but got 4
linha 172: Wrong indentation for "Step", expected indentation level of 2, but got 4
linha 173: Wrong indentation for "Step", expected indentation level of 2, but got 4
linha 174: Wrong indentation for "Step", expected indentation level of 2, but got 4
linha 175: Wrong indentation for "Step", expected indentation level of 2, but got 4
linha 176: Wrong indentation for "Step", expected indentation level of 2, but got 4
linha 177: Wrong indentation for "Step", expected indentation level of 2, but got 4
linha 178: Wrong indentation for "Step", expected indentation level of 2, but got 4
linha 179: Wrong indentation for "Step", expected indentation level of 2, but got 4
linha 180: Wrong indentation for "Step", expected indentation level of 2, but got 4
linha 181: Wrong indentation for "Step", expected indentation level of 2, but got 4
linha 183: Multiple empty lines are not allowed
linha 184: Multiple empty lines are not allowed
linha 185: Element Scenario too long: actual 33, expected 15
linha 186: Wrong indentation for "Step", expected indentation level of 2, but got 4
linha 187: Wrong indentation for "Step", expected indentation level of 2, but got 4
linha 188: Wrong indentation for "Step", expected indentation level of 2, but got 4
linha 189: Wrong indentation for "Step", expected indentation level of 2, but got 4
linha 190: Wrong indentation for "Step", expected indentation level of 2, but got 4
linha 191: Wrong indentation for "Step", expected indentation level of 2, but got 4
linha 192: Wrong indentation for "Step", expected indentation level of 2, but got 4
linha 193: Wrong indentation for "Step", expected indentation level of 2, but got 4
linha 194: Wrong indentation for "Step", expected indentation level of 2, but got 4
linha 195: Wrong indentation for "Step", expected indentation level of 2, but got 4
linha 196: Wrong indentation for "Step", expected indentation level of 2, but got 4
linha 197: Wrong indentation for "Step", expected indentation level of 2, but got 4
linha 198: Wrong indentation for "Step", expected indentation level of 2, but got 4
linha 199: Wrong indentation for "Step", expected indentation level of 2, but got 4
linha 200: Wrong indentation for "Step", expected indentation level of 2, but got 4
linha 201: Wrong indentation for "Step", expected indentation level of 2, but got 4
linha 202: Wrong indentation for "Step", expected indentation level of 2, but got 4
linha 203: Wrong indentation for "Step", expected indentation level of 2, but got 4
linha 204: Wrong indentation for "Step", expected indentation level of 2, but got 4
linha 205: Wrong indentation for "Step", expected indentation level of 2, but got 4
linha 206: Wrong indentation for "Step", expected indentation level of 2, but got 4
linha 207: Wrong indentation for "Step", expected indentation level of 2, but got 4
linha 208: Wrong indentation for "Step", expected indentation level of 2, but got 4
linha 209: Wrong indentation for "Step", expected indentation level of 2, but got 4
linha 210: Wrong indentation for "Step", expected indentation level of 2, but got 4
linha 211: Wrong indentation for "Step", expected indentation level of 2, but got 4
linha 212: Wrong indentation for "Step", expected indentation level of 2, but got 4
linha 213: Wrong indentation for "Step", expected indentation level of 2, but got 4
linha 214: Wrong indentation for "Step", expected indentation level of 2, but got 4
linha 215: Wrong indentation for "Step", expected indentation level of 2, but got 4
linha 216: Wrong indentation for "Step", expected indentation level of 2, but got 4
linha 216: Step "Given I open hyperlink "e1cib/list/Document.Unbundling"" should use And instead of Given
linha 217: Wrong indentation for "Step", expected indentation level of 2, but got 4
linha 218: Wrong indentation for "Step", expected indentation level of 2, but got 4
linha 220: Multiple empty lines are not allowed
linha 221: Multiple empty lines are not allowed
linha 223: Wrong indentation for "Step", expected indentation level of 2, but got 4
linha 224: Wrong indentation for "Step", expected indentation level of 2, but got 4
linha 225: Wrong indentation for "Step", expected indentation level of 2, but got 4
linha 226: Wrong indentation for "Step", expected indentation level of 2, but got 4
linha 226: Step name is too long. Length of 78 is longer than the maximum allowed: 70
linha 227: Wrong indentation for "Step", expected indentation level of 2, but got 4
linha 228: Wrong indentation for "Step", expected indentation level of 2, but got 4
linha 229: Wrong indentation for "Step", expected indentation level of 2, but got 4
linha 231: Multiple empty lines are not allowed
linha 232: Multiple empty lines are not allowed</t>
  </si>
  <si>
    <t>linha 3: Element Scenario too long: actual 26, expected 15
linha 6: Step "When Create catalog ItemKeys objects" should use And instead of When
linha 7: Step "When Create catalog ItemTypes objects" should use And instead of When
linha 8: Step "When Create catalog Units objects" should use And instead of When
linha 9: Step "When Create catalog Items objects" should use And instead of When
linha 10: Step "When Create catalog Specifications objects" should use And instead of When
linha 11: Step "When Create chart of characteristic types AddAttributeAndProperty objects" should use And instead of When
linha 12: Step "When Create catalog AddAttributeAndPropertySets objects" should use And instead of When
linha 13: Step "When Create catalog AddAttributeAndPropertyValues objects" should use And instead of When
linha 14: Step "When Create catalog Companies objects (Main company)" should use And instead of When
linha 15: Step "When Create catalog PriceTypes objects" should use And instead of When
linha 16: Step "When Create catalog Currencies objects" should use And instead of When
linha 17: Step "When Create catalog Partners objects (Ferron BP)" should use And instead of When
linha 18: Step "When Create catalog Companies objects (partners company)" should use And instead of When
linha 19: Step "When Create catalog Countries objects" should use And instead of When
linha 20: Step "When Create information register PartnerSegments records" should use And instead of When
linha 21: Step "When Create catalog PartnerSegments objects" should use And instead of When
linha 22: Step "When Create catalog Agreements objects" should use And instead of When
linha 23: Step "When Create chart of characteristic types CurrencyMovementType objects" should use And instead of When
linha 24: Step "When Create catalog TaxRates objects" should use And instead of When
linha 25: Step "When Create catalog Taxes objects" should use And instead of When
linha 26: Step "When Create information register TaxSettings records" should use And instead of When
linha 27: Step "When Create catalog IntegrationSettings objects" should use And instead of When
linha 28: Step "When Create information register CurrencyRates records" should use And instead of When
linha 29: Step "When Create information register Taxes records (VAT)" should use And instead of When
linha 31: Multiple empty lines are not allowed
linha 32: Multiple empty lines are not allowed
linha 36: Multiple empty lines are not allowed
linha 37: Multiple empty lines are not allowed
linha 38: Scenario name is too long. Length of 154 is longer than the maximum allowed: 70
linha 38: Element Scenario too long: actual 30, expected 15
linha 70: Multiple empty lines are not allowed
linha 71: Multiple empty lines are not allowed
linha 72: Scenario name is too long. Length of 145 is longer than the maximum allowed: 70
linha 72: Element Scenario too long: actual 31, expected 15
linha 73: Step name is too long. Length of 87 is longer than the maximum allowed: 70
linha 74: Step "Given I open hyperlink "e1cib/list/Document.Unbundling"" should not appear after step using keyword when
linha 105: Multiple empty lines are not allowed
linha 106: Multiple empty lines are not allowed
linha 107: Scenario name is too long. Length of 86 is longer than the maximum allowed: 70
linha 107: Element Scenario too long: actual 30, expected 15
linha 139: Multiple empty lines are not allowed
linha 140: Multiple empty lines are not allowed
linha 141: Scenario name is too long. Length of 125 is longer than the maximum allowed: 70
linha 141: Element Scenario too long: actual 40, expected 15
linha 152: Step "Given I open hyperlink "e1cib/list/Document.Unbundling"" should use And instead of Given
linha 183: Multiple empty lines are not allowed
linha 184: Multiple empty lines are not allowed
linha 185: Element Scenario too long: actual 33, expected 15
linha 216: Step "Given I open hyperlink "e1cib/list/Document.Unbundling"" should use And instead of Given
linha 220: Multiple empty lines are not allowed
linha 221: Multiple empty lines are not allowed
linha 226: Step name is too long. Length of 78 is longer than the maximum allowed: 70
linha 231: Multiple empty lines are not allowed
linha 232: Multiple empty lines are not allowed</t>
  </si>
  <si>
    <t>linha 3: Element Scenario too long: actual 26, expected 15
linha 6: Step "When Create catalog ItemKeys objects" should use And instead of When
linha 7: Step "When Create catalog ItemTypes objects" should use And instead of When
linha 8: Step "When Create catalog Units objects" should use And instead of When
linha 9: Step "When Create catalog Items objects" should use And instead of When
linha 10: Step "When Create catalog Specifications objects" should use And instead of When
linha 11: Step "When Create chart of characteristic types AddAttributeAndProperty objects" should use And instead of When
linha 12: Step "When Create catalog AddAttributeAndPropertySets objects" should use And instead of When
linha 13: Step "When Create catalog AddAttributeAndPropertyValues objects" should use And instead of When
linha 14: Step "When Create catalog Companies objects (Main company)" should use And instead of When
linha 15: Step "When Create catalog PriceTypes objects" should use And instead of When
linha 16: Step "When Create catalog Currencies objects" should use And instead of When
linha 17: Step "When Create catalog Partners objects (Ferron BP)" should use And instead of When
linha 18: Step "When Create catalog Companies objects (partners company)" should use And instead of When
linha 19: Step "When Create catalog Countries objects" should use And instead of When
linha 20: Step "When Create information register PartnerSegments records" should use And instead of When
linha 21: Step "When Create catalog PartnerSegments objects" should use And instead of When
linha 22: Step "When Create catalog Agreements objects" should use And instead of When
linha 23: Step "When Create chart of characteristic types CurrencyMovementType objects" should use And instead of When
linha 24: Step "When Create catalog TaxRates objects" should use And instead of When
linha 25: Step "When Create catalog Taxes objects" should use And instead of When
linha 26: Step "When Create information register TaxSettings records" should use And instead of When
linha 27: Step "When Create catalog IntegrationSettings objects" should use And instead of When
linha 28: Step "When Create information register CurrencyRates records" should use And instead of When
linha 29: Step "When Create information register Taxes records (VAT)" should use And instead of When
linha 38: Scenario name is too long. Length of 154 is longer than the maximum allowed: 70
linha 38: Element Scenario too long: actual 30, expected 15
linha 72: Scenario name is too long. Length of 145 is longer than the maximum allowed: 70
linha 72: Element Scenario too long: actual 31, expected 15
linha 73: Step name is too long. Length of 87 is longer than the maximum allowed: 70
linha 74: Step "Given I open hyperlink "e1cib/list/Document.Unbundling"" should not appear after step using keyword when
linha 107: Scenario name is too long. Length of 86 is longer than the maximum allowed: 70
linha 107: Element Scenario too long: actual 30, expected 15
linha 141: Scenario name is too long. Length of 125 is longer than the maximum allowed: 70
linha 141: Element Scenario too long: actual 40, expected 15
linha 152: Step "Given I open hyperlink "e1cib/list/Document.Unbundling"" should use And instead of Given
linha 185: Element Scenario too long: actual 33, expected 15
linha 216: Step "Given I open hyperlink "e1cib/list/Document.Unbundling"" should use And instead of Given
linha 226: Step name is too long. Length of 78 is longer than the maximum allowed: 70</t>
  </si>
  <si>
    <t>linha 4: Wrong indentation for "Step", expected indentation level of 2, but got 4
linha 5: Wrong indentation for "Step", expected indentation level of 2, but got 4
linha 7: Multiple empty lines are not allowed
linha 8: Multiple empty lines are not allowed
linha 10: Wrong indentation for "Step", expected indentation level of 2, but got 4
linha 11: Wrong indentation for "Step", expected indentation level of 2, but got 4
linha 13: Multiple empty lines are not allowed
linha 14: Multiple empty lines are not allowed
linha 16: Wrong indentation for "Step", expected indentation level of 2, but got 4
linha 17: Wrong indentation for "Step", expected indentation level of 2, but got 4
linha 19: Multiple empty lines are not allowed
linha 20: Multiple empty lines are not allowed
linha 22: Wrong indentation for "Step", expected indentation level of 2, but got 4
linha 23: Wrong indentation for "Step", expected indentation level of 2, but got 4
linha 23: Step name is too long. Length of 95 is longer than the maximum allowed: 70
linha 24: Wrong indentation for "Step", expected indentation level of 2, but got 4
linha 26: Multiple empty lines are not allowed
linha 27: Multiple empty lines are not allowed
linha 29: Wrong indentation for "Step", expected indentation level of 2, but got 4
linha 30: Wrong indentation for "Step", expected indentation level of 2, but got 4
linha 32: Multiple empty lines are not allowed
linha 33: Multiple empty lines are not allowed
linha 35: Wrong indentation for "Step", expected indentation level of 2, but got 4
linha 36: Wrong indentation for "Step", expected indentation level of 2, but got 4
linha 38: Multiple empty lines are not allowed
linha 39: Multiple empty lines are not allowed
linha 41: Wrong indentation for "Step", expected indentation level of 2, but got 4
linha 42: Wrong indentation for "Step", expected indentation level of 2, but got 4
linha 44: Multiple empty lines are not allowed
linha 45: Multiple empty lines are not allowed
linha 47: Wrong indentation for "Step", expected indentation level of 2, but got 4
linha 48: Wrong indentation for "Step", expected indentation level of 2, but got 4
linha 50: Multiple empty lines are not allowed
linha 51: Multiple empty lines are not allowed
linha 53: Wrong indentation for "Step", expected indentation level of 2, but got 4
linha 54: Wrong indentation for "Step", expected indentation level of 2, but got 4
linha 56: Multiple empty lines are not allowed
linha 57: Multiple empty lines are not allowed</t>
  </si>
  <si>
    <t>linha 7: Multiple empty lines are not allowed
linha 8: Multiple empty lines are not allowed
linha 13: Multiple empty lines are not allowed
linha 14: Multiple empty lines are not allowed
linha 19: Multiple empty lines are not allowed
linha 20: Multiple empty lines are not allowed
linha 23: Step name is too long. Length of 95 is longer than the maximum allowed: 70
linha 26: Multiple empty lines are not allowed
linha 27: Multiple empty lines are not allowed
linha 32: Multiple empty lines are not allowed
linha 33: Multiple empty lines are not allowed
linha 38: Multiple empty lines are not allowed
linha 39: Multiple empty lines are not allowed
linha 44: Multiple empty lines are not allowed
linha 45: Multiple empty lines are not allowed
linha 50: Multiple empty lines are not allowed
linha 51: Multiple empty lines are not allowed
linha 56: Multiple empty lines are not allowed
linha 57: Multiple empty lines are not allowed</t>
  </si>
  <si>
    <t>linha 23: Step name is too long. Length of 95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</si>
  <si>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8: Multiple empty lines are not allowed
linha 9: Multiple empty lines are not allowed</t>
  </si>
  <si>
    <t>linha 8: Multiple empty lines are not allowed
linha 9: Multiple empty lines are not allowed</t>
  </si>
  <si>
    <t>linha 4: Wrong indentation for "Step", expected indentation level of 2, but got 4
linha 5: Wrong indentation for "Step", expected indentation level of 2, but got 4
linha 6: Wrong indentation for "Step", expected indentation level of 2, but got 4
linha 8: Multiple empty lines are not allowed
linha 9: Multiple empty lines are not allowed
linha 11: Wrong indentation for "Step", expected indentation level of 2, but got 4
linha 12: Wrong indentation for "Step", expected indentation level of 2, but got 4
linha 13: Wrong indentation for "Step", expected indentation level of 2, but got 4
linha 15: Multiple empty lines are not allowed
linha 16: Multiple empty lines are not allowed
linha 18: Wrong indentation for "Step", expected indentation level of 2, but got 4
linha 19: Wrong indentation for "Step", expected indentation level of 2, but got 4
linha 20: Wrong indentation for "Step", expected indentation level of 2, but got 4
linha 22: Multiple empty lines are not allowed
linha 23: Multiple empty lines are not allowed
linha 24: Scenario name is too long. Length of 72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29: Multiple empty lines are not allowed
linha 30: Multiple empty lines are not allowed</t>
  </si>
  <si>
    <t>linha 8: Multiple empty lines are not allowed
linha 9: Multiple empty lines are not allowed
linha 15: Multiple empty lines are not allowed
linha 16: Multiple empty lines are not allowed
linha 22: Multiple empty lines are not allowed
linha 23: Multiple empty lines are not allowed
linha 24: Scenario name is too long. Length of 72 is longer than the maximum allowed: 70
linha 29: Multiple empty lines are not allowed
linha 30: Multiple empty lines are not allowed</t>
  </si>
  <si>
    <t>linha 24: Scenario name is too long. Length of 72 is longer than the maximum allowed: 70</t>
  </si>
  <si>
    <t>linha 3: Element Scenario too long: actual 44, expected 15
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80 is longer than the maximum allowed: 70
linha 7: Wrong indentation for "Step", expected indentation level of 2, but got 4
linha 8: Wrong indentation for "Step", expected indentation level of 2, but got 4
linha 9: Wrong indentation for "Step", expected indentation level of 2, but got 4
linha 9: Step name is too long. Length of 111 is longer than the maximum allowed: 70
linha 10: Wrong indentation for "Step", expected indentation level of 2, but got 4
linha 10: Step "When I click Account Number "1205"" should not appear after step using keyword then
linha 11: Wrong indentation for "Step", expected indentation level of 2, but got 4
linha 12: Wrong indentation for "Step", expected indentation level of 2, but got 4
linha 12: Step name is too long. Length of 77 is longer than the maximum allowed: 70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17: Step "When I enter "Chairs" into "Description"" should not appear after step using keyword then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34: Step "When I select "Custom Summary" from the drop down "Summary account for"" should not appear after step using keyword then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39: Step "Then I expect to see 0 selected checkboxes in "Custom Flags"" should use And instead of Then
linha 40: Wrong indentation for "Step", expected indentation level of 2, but got 4
linha 41: Wrong indentation for "Step", expected indentation level of 2, but got 4
linha 41: Step "When I select "Inventory" from the drop down "Summary account for"" should not appear after step using keyword then
linha 42: Wrong indentation for "Step", expected indentation level of 2, but got 4
linha 43: Wrong indentation for "Step", expected indentation level of 2, but got 4
linha 44: Wrong indentation for "Step", expected indentation level of 2, but got 4
linha 44: Step "When I navigate the menu and select the item at "General Journal &gt; Chart of Accounts"" should not appear after step using keyword then
linha 44: Step name is too long. Length of 80 is longer than the maximum allowed: 70
linha 45: Wrong indentation for "Step", expected indentation level of 2, but got 4
linha 46: Wrong indentation for "Step", expected indentation level of 2, but got 4
linha 47: Wrong indentation for "Step", expected indentation level of 2, but got 4
linha 47: Step name is too long. Length of 86 is longer than the maximum allowed: 70
linha 49: Multiple empty lines are not allowed
linha 50: Multiple empty lines are not allowed
linha 51: Scenario name is too long. Length of 75 is longer than the maximum allowed: 70
linha 52: Wrong indentation for "Step", expected indentation level of 2, but got 4
linha 52: Step name is too long. Length of 80 is longer than the maximum allowed: 70
linha 53: Wrong indentation for "Step", expected indentation level of 2, but got 4
linha 54: Wrong indentation for "Step", expected indentation level of 2, but got 4
linha 55: Wrong indentation for "Step", expected indentation level of 2, but got 4
linha 55: Step name is too long. Length of 94 is longer than the maximum allowed: 70
linha 56: Wrong indentation for "Step", expected indentation level of 2, but got 4
linha 56: Step "When I click Account Number "1000"" should not appear after step using keyword then
linha 57: Wrong indentation for "Step", expected indentation level of 2, but got 4
linha 58: Wrong indentation for "Step", expected indentation level of 2, but got 4
linha 59: Wrong indentation for "Step", expected indentation level of 2, but got 4
linha 59: Step "When I enter "Assets" into "Description"" should not appear after step using keyword then
linha 60: Wrong indentation for "Step", expected indentation level of 2, but got 4
linha 61: Wrong indentation for "Step", expected indentation level of 2, but got 4
linha 62: Wrong indentation for "Step", expected indentation level of 2, but got 4
linha 62: Step "When I navigate the menu and select the item at "General Journal &gt; Chart of Accounts"" should not appear after step using keyword then
linha 62: Step name is too long. Length of 80 is longer than the maximum allowed: 70
linha 63: Wrong indentation for "Step", expected indentation level of 2, but got 4
linha 64: Wrong indentation for "Step", expected indentation level of 2, but got 4
linha 65: Wrong indentation for "Step", expected indentation level of 2, but got 4
linha 65: Step name is too long. Length of 86 is longer than the maximum allowed: 70
linha 67: Multiple empty lines are not allowed
linha 68: Multiple empty lines are not allowed
linha 70: Wrong indentation for "Step", expected indentation level of 2, but got 4
linha 70: Step name is too long. Length of 80 is longer than the maximum allowed: 70
linha 71: Wrong indentation for "Step", expected indentation level of 2, but got 4
linha 72: Wrong indentation for "Step", expected indentation level of 2, but got 4
linha 73: Wrong indentation for "Step", expected indentation level of 2, but got 4
linha 73: Step "When I click Account Number "1060"" should not appear after step using keyword then
linha 74: Wrong indentation for "Step", expected indentation level of 2, but got 4
linha 75: Wrong indentation for "Step", expected indentation level of 2, but got 4
linha 75: Step "When I select the "Account" tab" should not appear after step using keyword then
linha 76: Wrong indentation for "Step", expected indentation level of 2, but got 4
linha 77: Wrong indentation for "Step", expected indentation level of 2, but got 4
linha 78: Wrong indentation for "Step", expected indentation level of 2, but got 4
linha 79: Wrong indentation for "Step", expected indentation level of 2, but got 4
linha 80: Wrong indentation for "Step", expected indentation level of 2, but got 4
linha 80: Step "When I navigate the menu and select the item at "General Journal &gt; Chart of Accounts"" should not appear after step using keyword then
linha 80: Step name is too long. Length of 80 is longer than the maximum allowed: 70
linha 81: Wrong indentation for "Step", expected indentation level of 2, but got 4
linha 82: Wrong indentation for "Step", expected indentation level of 2, but got 4
linha 83: Wrong indentation for "Step", expected indentation level of 2, but got 4
linha 83: Step name is too long. Length of 93 is longer than the maximum allowed: 70
linha 85: Multiple empty lines are not allowed
linha 86: Multiple empty lines are not allowed
linha 88: Wrong indentation for "Step", expected indentation level of 2, but got 4
linha 88: Step name is too long. Length of 80 is longer than the maximum allowed: 70
linha 89: Wrong indentation for "Step", expected indentation level of 2, but got 4
linha 90: Wrong indentation for "Step", expected indentation level of 2, but got 4
linha 91: Wrong indentation for "Step", expected indentation level of 2, but got 4
linha 91: Step "When I click Account Number "1000"" should not appear after step using keyword then
linha 92: Wrong indentation for "Step", expected indentation level of 2, but got 4
linha 93: Wrong indentation for "Step", expected indentation level of 2, but got 4
linha 93: Step "When I select the "Heading" tab" should not appear after step using keyword then
linha 94: Wrong indentation for "Step", expected indentation level of 2, but got 4
linha 95: Wrong indentation for "Step", expected indentation level of 2, but got 4
linha 96: Wrong indentation for "Step", expected indentation level of 2, but got 4
linha 97: Wrong indentation for "Step", expected indentation level of 2, but got 4
linha 98: Wrong indentation for "Step", expected indentation level of 2, but got 4
linha 98: Step "When I navigate the menu and select the item at "General Journal &gt; Chart of Accounts"" should not appear after step using keyword then
linha 98: Step name is too long. Length of 80 is longer than the maximum allowed: 70
linha 99: Wrong indentation for "Step", expected indentation level of 2, but got 4
linha 100: Wrong indentation for "Step", expected indentation level of 2, but got 4
linha 101: Wrong indentation for "Step", expected indentation level of 2, but got 4
linha 101: Step name is too long. Length of 93 is longer than the maximum allowed: 70
linha 103: Multiple empty lines are not allowed
linha 104: Multiple empty lines are not allowed</t>
  </si>
  <si>
    <t>linha 3: Element Scenario too long: actual 44, expected 15
linha 6: Step name is too long. Length of 80 is longer than the maximum allowed: 70
linha 9: Step name is too long. Length of 111 is longer than the maximum allowed: 70
linha 10: Step "When I click Account Number "1205"" should not appear after step using keyword then
linha 12: Step name is too long. Length of 77 is longer than the maximum allowed: 70
linha 17: Step "When I enter "Chairs" into "Description"" should not appear after step using keyword then
linha 34: Step "When I select "Custom Summary" from the drop down "Summary account for"" should not appear after step using keyword then
linha 39: Step "Then I expect to see 0 selected checkboxes in "Custom Flags"" should use And instead of Then
linha 41: Step "When I select "Inventory" from the drop down "Summary account for"" should not appear after step using keyword then
linha 44: Step "When I navigate the menu and select the item at "General Journal &gt; Chart of Accounts"" should not appear after step using keyword then
linha 44: Step name is too long. Length of 80 is longer than the maximum allowed: 70
linha 47: Step name is too long. Length of 86 is longer than the maximum allowed: 70
linha 49: Multiple empty lines are not allowed
linha 50: Multiple empty lines are not allowed
linha 51: Scenario name is too long. Length of 75 is longer than the maximum allowed: 70
linha 52: Step name is too long. Length of 80 is longer than the maximum allowed: 70
linha 55: Step name is too long. Length of 94 is longer than the maximum allowed: 70
linha 56: Step "When I click Account Number "1000"" should not appear after step using keyword then
linha 59: Step "When I enter "Assets" into "Description"" should not appear after step using keyword then
linha 62: Step "When I navigate the menu and select the item at "General Journal &gt; Chart of Accounts"" should not appear after step using keyword then
linha 62: Step name is too long. Length of 80 is longer than the maximum allowed: 70
linha 65: Step name is too long. Length of 86 is longer than the maximum allowed: 70
linha 67: Multiple empty lines are not allowed
linha 68: Multiple empty lines are not allowed
linha 70: Step name is too long. Length of 80 is longer than the maximum allowed: 70
linha 73: Step "When I click Account Number "1060"" should not appear after step using keyword then
linha 75: Step "When I select the "Account" tab" should not appear after step using keyword then
linha 80: Step "When I navigate the menu and select the item at "General Journal &gt; Chart of Accounts"" should not appear after step using keyword then
linha 80: Step name is too long. Length of 80 is longer than the maximum allowed: 70
linha 83: Step name is too long. Length of 93 is longer than the maximum allowed: 70
linha 85: Multiple empty lines are not allowed
linha 86: Multiple empty lines are not allowed
linha 88: Step name is too long. Length of 80 is longer than the maximum allowed: 70
linha 91: Step "When I click Account Number "1000"" should not appear after step using keyword then
linha 93: Step "When I select the "Heading" tab" should not appear after step using keyword then
linha 98: Step "When I navigate the menu and select the item at "General Journal &gt; Chart of Accounts"" should not appear after step using keyword then
linha 98: Step name is too long. Length of 80 is longer than the maximum allowed: 70
linha 101: Step name is too long. Length of 93 is longer than the maximum allowed: 70
linha 103: Multiple empty lines are not allowed
linha 104: Multiple empty lines are not allowed</t>
  </si>
  <si>
    <t>linha 3: Element Scenario too long: actual 44, expected 15
linha 6: Step name is too long. Length of 80 is longer than the maximum allowed: 70
linha 9: Step name is too long. Length of 111 is longer than the maximum allowed: 70
linha 10: Step "When I click Account Number "1205"" should not appear after step using keyword then
linha 12: Step name is too long. Length of 77 is longer than the maximum allowed: 70
linha 17: Step "When I enter "Chairs" into "Description"" should not appear after step using keyword then
linha 34: Step "When I select "Custom Summary" from the drop down "Summary account for"" should not appear after step using keyword then
linha 39: Step "Then I expect to see 0 selected checkboxes in "Custom Flags"" should use And instead of Then
linha 41: Step "When I select "Inventory" from the drop down "Summary account for"" should not appear after step using keyword then
linha 44: Step "When I navigate the menu and select the item at "General Journal &gt; Chart of Accounts"" should not appear after step using keyword then
linha 44: Step name is too long. Length of 80 is longer than the maximum allowed: 70
linha 47: Step name is too long. Length of 86 is longer than the maximum allowed: 70
linha 51: Scenario name is too long. Length of 75 is longer than the maximum allowed: 70
linha 52: Step name is too long. Length of 80 is longer than the maximum allowed: 70
linha 55: Step name is too long. Length of 94 is longer than the maximum allowed: 70
linha 56: Step "When I click Account Number "1000"" should not appear after step using keyword then
linha 59: Step "When I enter "Assets" into "Description"" should not appear after step using keyword then
linha 62: Step "When I navigate the menu and select the item at "General Journal &gt; Chart of Accounts"" should not appear after step using keyword then
linha 62: Step name is too long. Length of 80 is longer than the maximum allowed: 70
linha 65: Step name is too long. Length of 86 is longer than the maximum allowed: 70
linha 70: Step name is too long. Length of 80 is longer than the maximum allowed: 70
linha 73: Step "When I click Account Number "1060"" should not appear after step using keyword then
linha 75: Step "When I select the "Account" tab" should not appear after step using keyword then
linha 80: Step "When I navigate the menu and select the item at "General Journal &gt; Chart of Accounts"" should not appear after step using keyword then
linha 80: Step name is too long. Length of 80 is longer than the maximum allowed: 70
linha 83: Step name is too long. Length of 93 is longer than the maximum allowed: 70
linha 88: Step name is too long. Length of 80 is longer than the maximum allowed: 70
linha 91: Step "When I click Account Number "1000"" should not appear after step using keyword then
linha 93: Step "When I select the "Heading" tab" should not appear after step using keyword then
linha 98: Step "When I navigate the menu and select the item at "General Journal &gt; Chart of Accounts"" should not appear after step using keyword then
linha 98: Step name is too long. Length of 80 is longer than the maximum allowed: 70
linha 101: Step name is too long. Length of 93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</si>
  <si>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9: Multiple empty lines are not allowed
linha 10: Multiple empty lines are not allowed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17: Multiple empty lines are not allowed
linha 18: Multiple empty lines are not allowed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25: Multiple empty lines are not allowed
linha 26: Multiple empty lines are not allowed</t>
  </si>
  <si>
    <t>linha 9: Multiple empty lines are not allowed
linha 10: Multiple empty lines are not allowed
linha 17: Multiple empty lines are not allowed
linha 18: Multiple empty lines are not allowed
linha 25: Multiple empty lines are not allowed
linha 26: Multiple empty lines are not allowed</t>
  </si>
  <si>
    <t>linha 4: Wrong indentation for "Step", expected indentation level of 2, but got 4
linha 5: Wrong indentation for "Step", expected indentation level of 2, but got 4
linha 7: Multiple empty lines are not allowed
linha 8: Multiple empty lines are not allowed
linha 10: Wrong indentation for "Step", expected indentation level of 2, but got 4
linha 11: Wrong indentation for "Step", expected indentation level of 2, but got 4
linha 13: Multiple empty lines are not allowed
linha 14: Multiple empty lines are not allowed
linha 16: Wrong indentation for "Step", expected indentation level of 2, but got 4
linha 17: Wrong indentation for "Step", expected indentation level of 2, but got 4
linha 19: Multiple empty lines are not allowed
linha 20: Multiple empty lines are not allowed</t>
  </si>
  <si>
    <t>linha 7: Multiple empty lines are not allowed
linha 8: Multiple empty lines are not allowed
linha 13: Multiple empty lines are not allowed
linha 14: Multiple empty lines are not allowed
linha 19: Multiple empty lines are not allowed
linha 20: Multiple empty lines are not allowed</t>
  </si>
  <si>
    <t>linha 4: Wrong indentation for "Step", expected indentation level of 2, but got 4
linha 4: Step name is too long. Length of 75 is longer than the maximum allowed: 70
linha 5: Wrong indentation for "Step", expected indentation level of 2, but got 4
linha 6: Wrong indentation for "Step", expected indentation level of 2, but got 4
linha 6: Step "When I press "Search"" should not appear after step using keyword then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10: Step name is too long. Length of 75 is longer than the maximum allowed: 70
linha 11: Wrong indentation for "Step", expected indentation level of 2, but got 4
linha 11: Step name is too long. Length of 83 is longer than the maximum allowed: 70
linha 12: Wrong indentation for "Step", expected indentation level of 2, but got 4
linha 12: Step name is too long. Length of 87 is longer than the maximum allowed: 70
linha 13: Wrong indentation for "Step", expected indentation level of 2, but got 4
linha 13: Step name is too long. Length of 88 is longer than the maximum allowed: 70
linha 14: Wrong indentation for "Step", expected indentation level of 2, but got 4
linha 14: Step name is too long. Length of 87 is longer than the maximum allowed: 70
linha 16: Multiple empty lines are not allowed
linha 17: Multiple empty lines are not allowed
linha 19: Wrong indentation for "Step", expected indentation level of 2, but got 4
linha 19: Step name is too long. Length of 75 is longer than the maximum allowed: 70
linha 20: Wrong indentation for "Step", expected indentation level of 2, but got 4
linha 21: Wrong indentation for "Step", expected indentation level of 2, but got 4
linha 21: Step "When I select "payment" from the drop down "Transaction Type"" should not appear after step using keyword then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26: Step name is too long. Length of 87 is longer than the maximum allowed: 70
linha 28: Multiple empty lines are not allowed
linha 29: Multiple empty lines are not allowed
linha 31: Wrong indentation for "Step", expected indentation level of 2, but got 4
linha 31: Step name is too long. Length of 75 is longer than the maximum allowed: 70
linha 32: Wrong indentation for "Step", expected indentation level of 2, but got 4
linha 33: Wrong indentation for "Step", expected indentation level of 2, but got 4
linha 33: Step "When I enter "ABC" into "Description"" should not appear after step using keyword then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38: Step name is too long. Length of 91 is longer than the maximum allowed: 70
linha 40: Multiple empty lines are not allowed
linha 41: Multiple empty lines are not allowed
linha 43: Wrong indentation for "Step", expected indentation level of 2, but got 4
linha 43: Step name is too long. Length of 75 is longer than the maximum allowed: 70
linha 44: Wrong indentation for "Step", expected indentation level of 2, but got 4
linha 45: Wrong indentation for "Step", expected indentation level of 2, but got 4
linha 45: Step "When I select "Approved"" should not appear after step using keyword then
linha 46: Wrong indentation for "Step", expected indentation level of 2, but got 4
linha 47: Wrong indentation for "Step", expected indentation level of 2, but got 4
linha 48: Wrong indentation for "Step", expected indentation level of 2, but got 4
linha 49: Wrong indentation for "Step", expected indentation level of 2, but got 4
linha 50: Wrong indentation for "Step", expected indentation level of 2, but got 4
linha 50: Step name is too long. Length of 87 is longer than the maximum allowed: 70
linha 52: Multiple empty lines are not allowed
linha 53: Multiple empty lines are not allowed</t>
  </si>
  <si>
    <t>linha 4: Step name is too long. Length of 75 is longer than the maximum allowed: 70
linha 6: Step "When I press "Search"" should not appear after step using keyword then
linha 10: Step name is too long. Length of 75 is longer than the maximum allowed: 70
linha 11: Step name is too long. Length of 83 is longer than the maximum allowed: 70
linha 12: Step name is too long. Length of 87 is longer than the maximum allowed: 70
linha 13: Step name is too long. Length of 88 is longer than the maximum allowed: 70
linha 14: Step name is too long. Length of 87 is longer than the maximum allowed: 70
linha 16: Multiple empty lines are not allowed
linha 17: Multiple empty lines are not allowed
linha 19: Step name is too long. Length of 75 is longer than the maximum allowed: 70
linha 21: Step "When I select "payment" from the drop down "Transaction Type"" should not appear after step using keyword then
linha 26: Step name is too long. Length of 87 is longer than the maximum allowed: 70
linha 28: Multiple empty lines are not allowed
linha 29: Multiple empty lines are not allowed
linha 31: Step name is too long. Length of 75 is longer than the maximum allowed: 70
linha 33: Step "When I enter "ABC" into "Description"" should not appear after step using keyword then
linha 38: Step name is too long. Length of 91 is longer than the maximum allowed: 70
linha 40: Multiple empty lines are not allowed
linha 41: Multiple empty lines are not allowed
linha 43: Step name is too long. Length of 75 is longer than the maximum allowed: 70
linha 45: Step "When I select "Approved"" should not appear after step using keyword then
linha 50: Step name is too long. Length of 87 is longer than the maximum allowed: 70
linha 52: Multiple empty lines are not allowed
linha 53: Multiple empty lines are not allowed</t>
  </si>
  <si>
    <t>linha 4: Step name is too long. Length of 75 is longer than the maximum allowed: 70
linha 6: Step "When I press "Search"" should not appear after step using keyword then
linha 10: Step name is too long. Length of 75 is longer than the maximum allowed: 70
linha 11: Step name is too long. Length of 83 is longer than the maximum allowed: 70
linha 12: Step name is too long. Length of 87 is longer than the maximum allowed: 70
linha 13: Step name is too long. Length of 88 is longer than the maximum allowed: 70
linha 14: Step name is too long. Length of 87 is longer than the maximum allowed: 70
linha 19: Step name is too long. Length of 75 is longer than the maximum allowed: 70
linha 21: Step "When I select "payment" from the drop down "Transaction Type"" should not appear after step using keyword then
linha 26: Step name is too long. Length of 87 is longer than the maximum allowed: 70
linha 31: Step name is too long. Length of 75 is longer than the maximum allowed: 70
linha 33: Step "When I enter "ABC" into "Description"" should not appear after step using keyword then
linha 38: Step name is too long. Length of 91 is longer than the maximum allowed: 70
linha 43: Step name is too long. Length of 75 is longer than the maximum allowed: 70
linha 45: Step "When I select "Approved"" should not appear after step using keyword then
linha 50: Step name is too long. Length of 87 is longer than the maximum allowed: 70</t>
  </si>
  <si>
    <t>linha 4: Wrong indentation for "Step", expected indentation level of 2, but got 4
linha 5: Wrong indentation for "Step", expected indentation level of 2, but got 4
linha 6: Wrong indentation for "Step", expected indentation level of 2, but got 4
linha 6: Step "Then the app start time should not exceed "700" milliseconds" should use And instead of Then
linha 8: Multiple empty lines are not allowed
linha 9: Multiple empty lines are not allowed</t>
  </si>
  <si>
    <t>linha 6: Step "Then the app start time should not exceed "700" milliseconds" should use And instead of Then
linha 8: Multiple empty lines are not allowed
linha 9: Multiple empty lines are not allowed</t>
  </si>
  <si>
    <t>linha 6: Step "Then the app start time should not exceed "700" milliseconds" should use And instead of Then</t>
  </si>
  <si>
    <t>linha 3: Scenario name is too long. Length of 72 is longer than the maximum allowed: 70
linha 3: Element Scenario too long: actual 22, expected 15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"When I tap on network "Palm" to add it" should not appear after step using keyword then
linha 14: Wrong indentation for "Step", expected indentation level of 2, but got 4
linha 15: Wrong indentation for "Step", expected indentation level of 2, but got 4
linha 15: Step "When I select approve" should not appear after step using keyword then
linha 16: Wrong indentation for "Step", expected indentation level of 2, but got 4
linha 17: Wrong indentation for "Step", expected indentation level of 2, but got 4
linha 18: Wrong indentation for "Step", expected indentation level of 2, but got 4
linha 18: Step "When I tap on Switch network" should not appear after step using keyword then
linha 19: Wrong indentation for "Step", expected indentation level of 2, but got 4
linha 20: Wrong indentation for "Step", expected indentation level of 2, but got 4
linha 21: Wrong indentation for "Step", expected indentation level of 2, but got 4
linha 21: Step "When I tap on the Settings tab option" should not appear after step using keyword then
linha 22: Wrong indentation for "Step", expected indentation level of 2, but got 4
linha 23: Wrong indentation for "Step", expected indentation level of 2, but got 4
linha 24: Wrong indentation for "Step", expected indentation level of 2, but got 4
linha 24: Step "When I tap on the Add Network button" should not appear after step using keyword then
linha 25: Wrong indentation for "Step", expected indentation level of 2, but got 4
linha 27: Multiple empty lines are not allowed
linha 28: Multiple empty lines are not allowed
linha 29: Multiple empty lines are not allowed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35: Step "When I tap on the "CUSTOM NETWORKS" tab" should not appear after step using keyword then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
linha 44: Multiple empty lines are not allowed
linha 45: Multiple empty lines are not allowed
linha 46: Multiple empty lines are not allowed
linha 47: Scenario name is too long. Length of 96 is longer than the maximum allowed: 70
linha 47: Element Scenario too long: actual 20, expected 15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53: Wrong indentation for "Step", expected indentation level of 2, but got 4
linha 54: Wrong indentation for "Step", expected indentation level of 2, but got 4
linha 54: Step "When I tap on the "POPULAR" tab" should not appear after step using keyword then
linha 55: Wrong indentation for "Step", expected indentation level of 2, but got 4
linha 56: Wrong indentation for "Step", expected indentation level of 2, but got 4
linha 57: Wrong indentation for "Step", expected indentation level of 2, but got 4
linha 58: Wrong indentation for "Step", expected indentation level of 2, but got 4
linha 59: Wrong indentation for "Step", expected indentation level of 2, but got 4
linha 59: Step "When I tap on Switch network" should not appear after step using keyword then
linha 60: Wrong indentation for "Step", expected indentation level of 2, but got 4
linha 61: Wrong indentation for "Step", expected indentation level of 2, but got 4
linha 61: Step name is too long. Length of 72 is longer than the maximum allowed: 70
linha 61: Step "Then I should see the added network name "Optimism" in the top navigation bar" should use And instead of Then
linha 62: Wrong indentation for "Step", expected indentation level of 2, but got 4
linha 62: Step "When I tap on the Settings tab option" should not appear after step using keyword then
linha 63: Wrong indentation for "Step", expected indentation level of 2, but got 4
linha 64: Wrong indentation for "Step", expected indentation level of 2, but got 4
linha 65: Wrong indentation for "Step", expected indentation level of 2, but got 4
linha 66: Wrong indentation for "Step", expected indentation level of 2, but got 4
linha 66: Step name is too long. Length of 72 is longer than the maximum allowed: 70
linha 67: Wrong indentation for "Step", expected indentation level of 2, but got 4
linha 69: Multiple empty lines are not allowed
linha 70: Multiple empty lines are not allowed
linha 71: Multiple empty lines are not allowed
linha 72: Scenario name is too long. Length of 95 is longer than the maximum allowed: 70
linha 72: Element Scenario too long: actual 18, expected 15
linha 73: Wrong indentation for "Step", expected indentation level of 2, but got 4
linha 74: Wrong indentation for "Step", expected indentation level of 2, but got 4
linha 75: Wrong indentation for "Step", expected indentation level of 2, but got 4
linha 76: Wrong indentation for "Step", expected indentation level of 2, but got 4
linha 77: Wrong indentation for "Step", expected indentation level of 2, but got 4
linha 77: Step "When I tap on the "CUSTOM NETWORKS" tab" should not appear after step using keyword then
linha 78: Wrong indentation for "Step", expected indentation level of 2, but got 4
linha 79: Wrong indentation for "Step", expected indentation level of 2, but got 4
linha 80: Wrong indentation for "Step", expected indentation level of 2, but got 4
linha 81: Wrong indentation for "Step", expected indentation level of 2, but got 4
linha 82: Wrong indentation for "Step", expected indentation level of 2, but got 4
linha 83: Wrong indentation for "Step", expected indentation level of 2, but got 4
linha 84: Wrong indentation for "Step", expected indentation level of 2, but got 4
linha 84: Step name is too long. Length of 76 is longer than the maximum allowed: 70
linha 84: Step "Then I should see the added network name "Celo Mainnet" in the top navigation bar" should use And instead of Then
linha 85: Wrong indentation for "Step", expected indentation level of 2, but got 4
linha 85: Step "When I tap on the Settings tab option" should not appear after step using keyword then
linha 86: Wrong indentation for "Step", expected indentation level of 2, but got 4
linha 87: Wrong indentation for "Step", expected indentation level of 2, but got 4
linha 88: Wrong indentation for "Step", expected indentation level of 2, but got 4
linha 89: Wrong indentation for "Step", expected indentation level of 2, but got 4
linha 90: Wrong indentation for "Step", expected indentation level of 2, but got 4
linha 92: Multiple empty lines are not allowed
linha 93: Multiple empty lines are not allowed
linha 94: Multiple empty lines are not allowed</t>
  </si>
  <si>
    <t>linha 3: Scenario name is too long. Length of 72 is longer than the maximum allowed: 70
linha 3: Element Scenario too long: actual 22, expected 15
linha 13: Step "When I tap on network "Palm" to add it" should not appear after step using keyword then
linha 15: Step "When I select approve" should not appear after step using keyword then
linha 18: Step "When I tap on Switch network" should not appear after step using keyword then
linha 21: Step "When I tap on the Settings tab option" should not appear after step using keyword then
linha 24: Step "When I tap on the Add Network button" should not appear after step using keyword then
linha 27: Multiple empty lines are not allowed
linha 28: Multiple empty lines are not allowed
linha 29: Multiple empty lines are not allowed
linha 35: Step "When I tap on the "CUSTOM NETWORKS" tab" should not appear after step using keyword then
linha 44: Multiple empty lines are not allowed
linha 45: Multiple empty lines are not allowed
linha 46: Multiple empty lines are not allowed
linha 47: Scenario name is too long. Length of 96 is longer than the maximum allowed: 70
linha 47: Element Scenario too long: actual 20, expected 15
linha 54: Step "When I tap on the "POPULAR" tab" should not appear after step using keyword then
linha 59: Step "When I tap on Switch network" should not appear after step using keyword then
linha 61: Step name is too long. Length of 72 is longer than the maximum allowed: 70
linha 61: Step "Then I should see the added network name "Optimism" in the top navigation bar" should use And instead of Then
linha 62: Step "When I tap on the Settings tab option" should not appear after step using keyword then
linha 66: Step name is too long. Length of 72 is longer than the maximum allowed: 70
linha 69: Multiple empty lines are not allowed
linha 70: Multiple empty lines are not allowed
linha 71: Multiple empty lines are not allowed
linha 72: Scenario name is too long. Length of 95 is longer than the maximum allowed: 70
linha 72: Element Scenario too long: actual 18, expected 15
linha 77: Step "When I tap on the "CUSTOM NETWORKS" tab" should not appear after step using keyword then
linha 84: Step name is too long. Length of 76 is longer than the maximum allowed: 70
linha 84: Step "Then I should see the added network name "Celo Mainnet" in the top navigation bar" should use And instead of Then
linha 85: Step "When I tap on the Settings tab option" should not appear after step using keyword then
linha 92: Multiple empty lines are not allowed
linha 93: Multiple empty lines are not allowed
linha 94: Multiple empty lines are not allowed</t>
  </si>
  <si>
    <t>linha 3: Scenario name is too long. Length of 72 is longer than the maximum allowed: 70
linha 3: Element Scenario too long: actual 22, expected 15
linha 13: Step "When I tap on network "Palm" to add it" should not appear after step using keyword then
linha 15: Step "When I select approve" should not appear after step using keyword then
linha 18: Step "When I tap on Switch network" should not appear after step using keyword then
linha 21: Step "When I tap on the Settings tab option" should not appear after step using keyword then
linha 24: Step "When I tap on the Add Network button" should not appear after step using keyword then
linha 35: Step "When I tap on the "CUSTOM NETWORKS" tab" should not appear after step using keyword then
linha 47: Scenario name is too long. Length of 96 is longer than the maximum allowed: 70
linha 47: Element Scenario too long: actual 20, expected 15
linha 54: Step "When I tap on the "POPULAR" tab" should not appear after step using keyword then
linha 59: Step "When I tap on Switch network" should not appear after step using keyword then
linha 61: Step name is too long. Length of 72 is longer than the maximum allowed: 70
linha 61: Step "Then I should see the added network name "Optimism" in the top navigation bar" should use And instead of Then
linha 62: Step "When I tap on the Settings tab option" should not appear after step using keyword then
linha 66: Step name is too long. Length of 72 is longer than the maximum allowed: 70
linha 72: Scenario name is too long. Length of 95 is longer than the maximum allowed: 70
linha 72: Element Scenario too long: actual 18, expected 15
linha 77: Step "When I tap on the "CUSTOM NETWORKS" tab" should not appear after step using keyword then
linha 84: Step name is too long. Length of 76 is longer than the maximum allowed: 70
linha 84: Step "Then I should see the added network name "Celo Mainnet" in the top navigation bar" should use And instead of Then
linha 85: Step "When I tap on the Settings tab option" should not appear after step using keyword then</t>
  </si>
  <si>
    <t>linha 3: Element Scenario too long: actual 17, expected 15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11: Step "When I tap on the navbar network title button" should not appear after step using keyword then
linha 12: Wrong indentation for "Step", expected indentation level of 2, but got 4
linha 13: Wrong indentation for "Step", expected indentation level of 2, but got 4
linha 13: Step "When I tap on network "BNB Smart Chain" to add it" should not appear after step using keyword then
linha 13: Step "When I tap on network "BNB Smart Chain" to add it" should use And instead of When
linha 14: Wrong indentation for "Step", expected indentation level of 2, but got 4
linha 15: Wrong indentation for "Step", expected indentation level of 2, but got 4
linha 15: Step "When I tap on button with text "Approve"" should not appear after step using keyword then
linha 16: Wrong indentation for "Step", expected indentation level of 2, but got 4
linha 17: Wrong indentation for "Step", expected indentation level of 2, but got 4
linha 17: Step "When I tap on button with text "Close"" should not appear after step using keyword then
linha 18: Wrong indentation for "Step", expected indentation level of 2, but got 4
linha 19: Wrong indentation for "Step", expected indentation level of 2, but got 4
linha 20: Wrong indentation for "Step", expected indentation level of 2, but got 4
linha 22: Multiple empty lines are not allowed
linha 23: Multiple empty lines are not allowed
linha 24: Element Scenario too long: actual 16, expected 15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28: Step "Then I see "BNB Smart Chain" visible in the top navigation bar" should use And instead of Then
linha 29: Wrong indentation for "Step", expected indentation level of 2, but got 4
linha 29: Step "When On the Main Wallet view I tap on the Receive Action" should not appear after step using keyword then
linha 30: Wrong indentation for "Step", expected indentation level of 2, but got 4
linha 31: Wrong indentation for "Step", expected indentation level of 2, but got 4
linha 31: Step "When I tap on button with text "Request Payment"" should not appear after step using keyword then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36: Step "When I type "12" into the Request Amount field" should not appear after step using keyword then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42: Multiple empty lines are not allowed
linha 43: Multiple empty lines are not allowed
linha 44: Multiple empty lines are not allowed
linha 45: Element Scenario too long: actual 22, expected 15
linha 46: Wrong indentation for "Step", expected indentation level of 2, but got 4
linha 47: Wrong indentation for "Step", expected indentation level of 2, but got 4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51: Step "When I tap on button with text "Request Payment"" should not appear after step using keyword then
linha 52: Wrong indentation for "Step", expected indentation level of 2, but got 4
linha 53: Wrong indentation for "Step", expected indentation level of 2, but got 4
linha 54: Wrong indentation for "Step", expected indentation level of 2, but got 4
linha 54: Step "When I tap on button with text "Binance Beacon ETH"" should not appear after step using keyword then
linha 55: Wrong indentation for "Step", expected indentation level of 2, but got 4
linha 56: Wrong indentation for "Step", expected indentation level of 2, but got 4
linha 56: Step "When I tap to navigate back from request view" should not appear after step using keyword then
linha 57: Wrong indentation for "Step", expected indentation level of 2, but got 4
linha 58: Wrong indentation for "Step", expected indentation level of 2, but got 4
linha 59: Wrong indentation for "Step", expected indentation level of 2, but got 4
linha 60: Wrong indentation for "Step", expected indentation level of 2, but got 4
linha 60: Step "When I tap on button with text "ChainLink Token"" should not appear after step using keyword then
linha 61: Wrong indentation for "Step", expected indentation level of 2, but got 4
linha 62: Wrong indentation for "Step", expected indentation level of 2, but got 4
linha 63: Wrong indentation for "Step", expected indentation level of 2, but got 4
linha 64: Wrong indentation for "Step", expected indentation level of 2, but got 4
linha 65: Wrong indentation for "Step", expected indentation level of 2, but got 4
linha 65: Step "Then "Payment Request QR Code" is visible" should use And instead of Then
linha 66: Wrong indentation for "Step", expected indentation level of 2, but got 4
linha 67: Wrong indentation for "Step", expected indentation level of 2, but got 4
linha 69: Multiple empty lines are not allowed
linha 70: Multiple empty lines are not allowed
linha 71: Multiple empty lines are not allowed</t>
  </si>
  <si>
    <t>linha 3: Element Scenario too long: actual 17, expected 15
linha 11: Step "When I tap on the navbar network title button" should not appear after step using keyword then
linha 13: Step "When I tap on network "BNB Smart Chain" to add it" should not appear after step using keyword then
linha 13: Step "When I tap on network "BNB Smart Chain" to add it" should use And instead of When
linha 15: Step "When I tap on button with text "Approve"" should not appear after step using keyword then
linha 17: Step "When I tap on button with text "Close"" should not appear after step using keyword then
linha 22: Multiple empty lines are not allowed
linha 23: Multiple empty lines are not allowed
linha 24: Element Scenario too long: actual 16, expected 15
linha 28: Step "Then I see "BNB Smart Chain" visible in the top navigation bar" should use And instead of Then
linha 29: Step "When On the Main Wallet view I tap on the Receive Action" should not appear after step using keyword then
linha 31: Step "When I tap on button with text "Request Payment"" should not appear after step using keyword then
linha 36: Step "When I type "12" into the Request Amount field" should not appear after step using keyword then
linha 42: Multiple empty lines are not allowed
linha 43: Multiple empty lines are not allowed
linha 44: Multiple empty lines are not allowed
linha 45: Element Scenario too long: actual 22, expected 15
linha 51: Step "When I tap on button with text "Request Payment"" should not appear after step using keyword then
linha 54: Step "When I tap on button with text "Binance Beacon ETH"" should not appear after step using keyword then
linha 56: Step "When I tap to navigate back from request view" should not appear after step using keyword then
linha 60: Step "When I tap on button with text "ChainLink Token"" should not appear after step using keyword then
linha 65: Step "Then "Payment Request QR Code" is visible" should use And instead of Then
linha 69: Multiple empty lines are not allowed
linha 70: Multiple empty lines are not allowed
linha 71: Multiple empty lines are not allowed</t>
  </si>
  <si>
    <t>linha 3: Element Scenario too long: actual 17, expected 15
linha 11: Step "When I tap on the navbar network title button" should not appear after step using keyword then
linha 13: Step "When I tap on network "BNB Smart Chain" to add it" should not appear after step using keyword then
linha 13: Step "When I tap on network "BNB Smart Chain" to add it" should use And instead of When
linha 15: Step "When I tap on button with text "Approve"" should not appear after step using keyword then
linha 17: Step "When I tap on button with text "Close"" should not appear after step using keyword then
linha 24: Element Scenario too long: actual 16, expected 15
linha 28: Step "Then I see "BNB Smart Chain" visible in the top navigation bar" should use And instead of Then
linha 29: Step "When On the Main Wallet view I tap on the Receive Action" should not appear after step using keyword then
linha 31: Step "When I tap on button with text "Request Payment"" should not appear after step using keyword then
linha 36: Step "When I type "12" into the Request Amount field" should not appear after step using keyword then
linha 45: Element Scenario too long: actual 22, expected 15
linha 51: Step "When I tap on button with text "Request Payment"" should not appear after step using keyword then
linha 54: Step "When I tap on button with text "Binance Beacon ETH"" should not appear after step using keyword then
linha 56: Step "When I tap to navigate back from request view" should not appear after step using keyword then
linha 60: Step "When I tap on button with text "ChainLink Token"" should not appear after step using keyword then
linha 65: Step "Then "Payment Request QR Code" is visible" should use And instead of Then</t>
  </si>
  <si>
    <t>linha 3: Element Scenario too long: actual 20, expected 15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11: Step name is too long. Length of 86 is longer than the maximum allowed: 70
linha 12: Wrong indentation for "Step", expected indentation level of 2, but got 4
linha 13: Wrong indentation for "Step", expected indentation level of 2, but got 4
linha 14: Wrong indentation for "Step", expected indentation level of 2, but got 4
linha 14: Step "When I type amount "1" into amount input field" should not appear after step using keyword then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"When I tap Edit Gas link" should not appear after step using keyword then
linha 19: Wrong indentation for "Step", expected indentation level of 2, but got 4
linha 20: Wrong indentation for "Step", expected indentation level of 2, but got 4
linha 20: Step "When I tap Save Gas Values" should not appear after step using keyword then
linha 21: Wrong indentation for "Step", expected indentation level of 2, but got 4
linha 21: Step "When I tap button "Send" on Confirm Amount view" should not appear after step using keyword then
linha 21: Step "When I tap button "Send" on Confirm Amount view" should use And instead of When
linha 22: Wrong indentation for "Step", expected indentation level of 2, but got 4
linha 23: Wrong indentation for "Step", expected indentation level of 2, but got 4
linha 23: Step "When I tap on the Activity tab option" should not appear after step using keyword then
linha 24: Wrong indentation for "Step", expected indentation level of 2, but got 4
linha 26: Multiple empty lines are not allowed
linha 27: Multiple empty lines are not allowed</t>
  </si>
  <si>
    <t>linha 3: Element Scenario too long: actual 20, expected 15
linha 11: Step name is too long. Length of 86 is longer than the maximum allowed: 70
linha 14: Step "When I type amount "1" into amount input field" should not appear after step using keyword then
linha 18: Step "When I tap Edit Gas link" should not appear after step using keyword then
linha 20: Step "When I tap Save Gas Values" should not appear after step using keyword then
linha 21: Step "When I tap button "Send" on Confirm Amount view" should not appear after step using keyword then
linha 21: Step "When I tap button "Send" on Confirm Amount view" should use And instead of When
linha 23: Step "When I tap on the Activity tab option" should not appear after step using keyword then
linha 26: Multiple empty lines are not allowed
linha 27: Multiple empty lines are not allowed</t>
  </si>
  <si>
    <t>linha 3: Element Scenario too long: actual 20, expected 15
linha 11: Step name is too long. Length of 86 is longer than the maximum allowed: 70
linha 14: Step "When I type amount "1" into amount input field" should not appear after step using keyword then
linha 18: Step "When I tap Edit Gas link" should not appear after step using keyword then
linha 20: Step "When I tap Save Gas Values" should not appear after step using keyword then
linha 21: Step "When I tap button "Send" on Confirm Amount view" should not appear after step using keyword then
linha 21: Step "When I tap button "Send" on Confirm Amount view" should use And instead of When
linha 23: Step "When I tap on the Activity tab option" should not appear after step using keyword then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</si>
  <si>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9: Step "When I click "div.icon"" should not appear after step using keyword then
linha 10: Wrong indentation for "Step", expected indentation level of 2, but got 4
linha 12: Multiple empty lines are not allowed
linha 13: Multiple empty lines are not allowed</t>
  </si>
  <si>
    <t>linha 9: Step "When I click "div.icon"" should not appear after step using keyword then
linha 12: Multiple empty lines are not allowed
linha 13: Multiple empty lines are not allowed</t>
  </si>
  <si>
    <t>linha 9: Step "When I click "div.icon"" should not appear after step using keyword then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</si>
  <si>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14: Multiple empty lines are not allowed
linha 15: Multiple empty lines are not allowed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26: Multiple empty lines are not allowed
linha 27: Multiple empty lines are not allowed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42: Wrong indentation for "Step", expected indentation level of 2, but got 4
linha 42: Step "Then I should not see "error"" should use And instead of Then
linha 43: Wrong indentation for "Step", expected indentation level of 2, but got 4
linha 45: Multiple empty lines are not allowed
linha 46: Multiple empty lines are not allowed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53: Wrong indentation for "Step", expected indentation level of 2, but got 4
linha 54: Wrong indentation for "Step", expected indentation level of 2, but got 4
linha 56: Multiple empty lines are not allowed
linha 57: Multiple empty lines are not allowed
linha 60: Wrong indentation for "Step", expected indentation level of 2, but got 4
linha 61: Wrong indentation for "Step", expected indentation level of 2, but got 4
linha 62: Wrong indentation for "Step", expected indentation level of 2, but got 4
linha 63: Wrong indentation for "Step", expected indentation level of 2, but got 4
linha 64: Wrong indentation for "Step", expected indentation level of 2, but got 4
linha 66: Multiple empty lines are not allowed
linha 67: Multiple empty lines are not allowed
linha 70: Wrong indentation for "Step", expected indentation level of 2, but got 4
linha 71: Wrong indentation for "Step", expected indentation level of 2, but got 4
linha 72: Wrong indentation for "Step", expected indentation level of 2, but got 4
linha 73: Wrong indentation for "Step", expected indentation level of 2, but got 4
linha 74: Wrong indentation for "Step", expected indentation level of 2, but got 4
linha 75: Wrong indentation for "Step", expected indentation level of 2, but got 4
linha 76: Wrong indentation for "Step", expected indentation level of 2, but got 4
linha 77: Wrong indentation for "Step", expected indentation level of 2, but got 4
linha 78: Wrong indentation for "Step", expected indentation level of 2, but got 4
linha 80: Multiple empty lines are not allowed
linha 81: Multiple empty lines are not allowed
linha 82: Element Scenario too long: actual 18, expected 15
linha 84: Wrong indentation for "Step", expected indentation level of 2, but got 4
linha 85: Wrong indentation for "Step", expected indentation level of 2, but got 4
linha 86: Wrong indentation for "Step", expected indentation level of 2, but got 4
linha 87: Wrong indentation for "Step", expected indentation level of 2, but got 4
linha 88: Wrong indentation for "Step", expected indentation level of 2, but got 4
linha 89: Wrong indentation for "Step", expected indentation level of 2, but got 4
linha 90: Wrong indentation for "Step", expected indentation level of 2, but got 4
linha 91: Wrong indentation for "Step", expected indentation level of 2, but got 4
linha 92: Wrong indentation for "Step", expected indentation level of 2, but got 4
linha 93: Wrong indentation for "Step", expected indentation level of 2, but got 4
linha 93: Step "When I follow "New discussion topic"" should use And instead of When
linha 94: Wrong indentation for "Step", expected indentation level of 2, but got 4
linha 95: Wrong indentation for "Step", expected indentation level of 2, but got 4
linha 96: Wrong indentation for "Step", expected indentation level of 2, but got 4
linha 97: Wrong indentation for "Step", expected indentation level of 2, but got 4
linha 98: Wrong indentation for "Step", expected indentation level of 2, but got 4
linha 99: Wrong indentation for "Step", expected indentation level of 2, but got 4
linha 100: Wrong indentation for "Step", expected indentation level of 2, but got 4
linha 101: Wrong indentation for "Step", expected indentation level of 2, but got 4
linha 103: Multiple empty lines are not allowed
linha 104: Multiple empty lines are not allowed
linha 105: Element Scenario too long: actual 16, expected 15
linha 107: Wrong indentation for "Step", expected indentation level of 2, but got 4
linha 108: Wrong indentation for "Step", expected indentation level of 2, but got 4
linha 109: Wrong indentation for "Step", expected indentation level of 2, but got 4
linha 110: Wrong indentation for "Step", expected indentation level of 2, but got 4
linha 111: Wrong indentation for "Step", expected indentation level of 2, but got 4
linha 112: Wrong indentation for "Step", expected indentation level of 2, but got 4
linha 113: Wrong indentation for "Step", expected indentation level of 2, but got 4
linha 114: Wrong indentation for "Step", expected indentation level of 2, but got 4
linha 115: Wrong indentation for "Step", expected indentation level of 2, but got 4
linha 116: Wrong indentation for "Step", expected indentation level of 2, but got 4
linha 116: Step "When I follow "Logout"" should use And instead of When
linha 117: Wrong indentation for "Step", expected indentation level of 2, but got 4
linha 118: Wrong indentation for "Step", expected indentation level of 2, but got 4
linha 119: Wrong indentation for "Step", expected indentation level of 2, but got 4
linha 119: Step "When I follow "Accept"" should use And instead of When
linha 120: Wrong indentation for "Step", expected indentation level of 2, but got 4
linha 121: Wrong indentation for "Step", expected indentation level of 2, but got 4
linha 122: Wrong indentation for "Step", expected indentation level of 2, but got 4
linha 124: Multiple empty lines are not allowed
linha 125: Multiple empty lines are not allowed
linha 128: Wrong indentation for "Step", expected indentation level of 2, but got 4
linha 129: Wrong indentation for "Step", expected indentation level of 2, but got 4
linha 130: Wrong indentation for "Step", expected indentation level of 2, but got 4
linha 131: Wrong indentation for "Step", expected indentation level of 2, but got 4
linha 132: Wrong indentation for "Step", expected indentation level of 2, but got 4
linha 133: Wrong indentation for "Step", expected indentation level of 2, but got 4
linha 134: Wrong indentation for "Step", expected indentation level of 2, but got 4
linha 135: Wrong indentation for "Step", expected indentation level of 2, but got 4
linha 136: Wrong indentation for "Step", expected indentation level of 2, but got 4
linha 136: Step "When I follow "Logout"" should use And instead of When
linha 137: Wrong indentation for "Step", expected indentation level of 2, but got 4
linha 138: Wrong indentation for "Step", expected indentation level of 2, but got 4
linha 139: Wrong indentation for "Step", expected indentation level of 2, but got 4
linha 139: Step "When I follow "Accept"" should use And instead of When
linha 140: Wrong indentation for "Step", expected indentation level of 2, but got 4
linha 142: Multiple empty lines are not allowed
linha 143: Multiple empty lines are not allowed
linha 146: Wrong indentation for "Step", expected indentation level of 2, but got 4
linha 147: Wrong indentation for "Step", expected indentation level of 2, but got 4
linha 148: Wrong indentation for "Step", expected indentation level of 2, but got 4
linha 149: Wrong indentation for "Step", expected indentation level of 2, but got 4
linha 150: Wrong indentation for "Step", expected indentation level of 2, but got 4
linha 152: Multiple empty lines are not allowed
linha 153: Multiple empty lines are not allowed
linha 156: Wrong indentation for "Step", expected indentation level of 2, but got 4
linha 157: Wrong indentation for "Step", expected indentation level of 2, but got 4
linha 158: Wrong indentation for "Step", expected indentation level of 2, but got 4
linha 159: Wrong indentation for "Step", expected indentation level of 2, but got 4
linha 160: Wrong indentation for "Step", expected indentation level of 2, but got 4
linha 162: Multiple empty lines are not allowed
linha 163: Multiple empty lines are not allowed
linha 165: Wrong indentation for "Step", expected indentation level of 2, but got 4
linha 166: Wrong indentation for "Step", expected indentation level of 2, but got 4
linha 167: Wrong indentation for "Step", expected indentation level of 2, but got 4
linha 168: Wrong indentation for "Step", expected indentation level of 2, but got 4
linha 170: Multiple empty lines are not allowed
linha 171: Multiple empty lines are not allowed</t>
  </si>
  <si>
    <t>linha 14: Multiple empty lines are not allowed
linha 15: Multiple empty lines are not allowed
linha 26: Multiple empty lines are not allowed
linha 27: Multiple empty lines are not allowed
linha 42: Step "Then I should not see "error"" should use And instead of Then
linha 45: Multiple empty lines are not allowed
linha 46: Multiple empty lines are not allowed
linha 56: Multiple empty lines are not allowed
linha 57: Multiple empty lines are not allowed
linha 66: Multiple empty lines are not allowed
linha 67: Multiple empty lines are not allowed
linha 80: Multiple empty lines are not allowed
linha 81: Multiple empty lines are not allowed
linha 82: Element Scenario too long: actual 18, expected 15
linha 93: Step "When I follow "New discussion topic"" should use And instead of When
linha 103: Multiple empty lines are not allowed
linha 104: Multiple empty lines are not allowed
linha 105: Element Scenario too long: actual 16, expected 15
linha 116: Step "When I follow "Logout"" should use And instead of When
linha 119: Step "When I follow "Accept"" should use And instead of When
linha 124: Multiple empty lines are not allowed
linha 125: Multiple empty lines are not allowed
linha 136: Step "When I follow "Logout"" should use And instead of When
linha 139: Step "When I follow "Accept"" should use And instead of When
linha 142: Multiple empty lines are not allowed
linha 143: Multiple empty lines are not allowed
linha 152: Multiple empty lines are not allowed
linha 153: Multiple empty lines are not allowed
linha 162: Multiple empty lines are not allowed
linha 163: Multiple empty lines are not allowed
linha 170: Multiple empty lines are not allowed
linha 171: Multiple empty lines are not allowed</t>
  </si>
  <si>
    <t>linha 42: Step "Then I should not see "error"" should use And instead of Then
linha 82: Element Scenario too long: actual 18, expected 15
linha 93: Step "When I follow "New discussion topic"" should use And instead of When
linha 105: Element Scenario too long: actual 16, expected 15
linha 116: Step "When I follow "Logout"" should use And instead of When
linha 119: Step "When I follow "Accept"" should use And instead of When
linha 136: Step "When I follow "Logout"" should use And instead of When
linha 139: Step "When I follow "Accept"" should use And instead of When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</si>
  <si>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8: Step "When I follow "My enterprises"" should not appear after step using keyword then
linha 9: Wrong indentation for "Step", expected indentation level of 2, but got 4
linha 10: Wrong indentation for "Step", expected indentation level of 2, but got 4
linha 11: Wrong indentation for "Step", expected indentation level of 2, but got 4
linha 11: Step "Then I should be on tangerine-dream's control panel" should use And instead of Then
linha 13: Multiple empty lines are not allowed
linha 14: Multiple empty lines are not allowed
linha 17: Wrong indentation for "Step", expected indentation level of 2, but got 4
linha 18: Wrong indentation for "Step", expected indentation level of 2, but got 4
linha 19: Wrong indentation for "Step", expected indentation level of 2, but got 4
linha 21: Multiple empty lines are not allowed
linha 22: Multiple empty lines are not allowed</t>
  </si>
  <si>
    <t>linha 8: Step "When I follow "My enterprises"" should not appear after step using keyword then
linha 11: Step "Then I should be on tangerine-dream's control panel" should use And instead of Then
linha 13: Multiple empty lines are not allowed
linha 14: Multiple empty lines are not allowed
linha 21: Multiple empty lines are not allowed
linha 22: Multiple empty lines are not allowed</t>
  </si>
  <si>
    <t>linha 8: Step "When I follow "My enterprises"" should not appear after step using keyword then
linha 11: Step "Then I should be on tangerine-dream's control panel" should use And instead of Then</t>
  </si>
  <si>
    <t>linha 5: Wrong indentation for "Step", expected indentation level of 2, but got 4
linha 6: Wrong indentation for "Step", expected indentation level of 2, but got 4
linha 6: Step "Given I am on the environment control panel" should use And instead of Given
linha 7: Wrong indentation for "Step", expected indentation level of 2, but got 4
linha 7: Step "Given I follow "Plugins"" should use And instead of Given
linha 8: Wrong indentation for "Step", expected indentation level of 2, but got 4
linha 8: Step "Given I check "Comment Classification"" should use And instead of Given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13: Step "Then I am logged in as "joaosilva"" should use And instead of Then
linha 14: Wrong indentation for "Step", expected indentation level of 2, but got 4
linha 14: Step "Given the following articles" should not appear after step using keyword then
linha 15: Wrong indentation for "Step", expected indentation level of 2, but got 4
linha 16: Wrong indentation for "Step", expected indentation level of 2, but got 4
linha 16: Step "Given I am on article "Article on a person profile"" should not appear after step using keyword then
linha 16: Step "Given I am on article "Article on a person profile"" should use And instead of Given
linha 17: Wrong indentation for "Step", expected indentation level of 2, but got 4
linha 18: Wrong indentation for "Step", expected indentation level of 2, but got 4
linha 20: Multiple empty lines are not allowed
linha 21: Multiple empty lines are not allowed
linha 24: Wrong indentation for "Step", expected indentation level of 2, but got 4
linha 25: Wrong indentation for "Step", expected indentation level of 2, but got 4
linha 25: Step "Given I am on the environment control panel" should use And instead of Given
linha 26: Wrong indentation for "Step", expected indentation level of 2, but got 4
linha 26: Step "Given I follow "Plugins"" should use And instead of Given
linha 27: Wrong indentation for "Step", expected indentation level of 2, but got 4
linha 27: Step "Given I check "Comment Classification"" should use And instead of Given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32: Step "Then I am logged in as "joaosilva"" should use And instead of Then
linha 33: Wrong indentation for "Step", expected indentation level of 2, but got 4
linha 33: Step "Given I am on article "Article to comment"" should not appear after step using keyword then
linha 34: Wrong indentation for "Step", expected indentation level of 2, but got 4
linha 35: Wrong indentation for "Step", expected indentation level of 2, but got 4
linha 37: Multiple empty lines are not allowed
linha 38: Multiple empty lines are not allowed
linha 41: Wrong indentation for "Step", expected indentation level of 2, but got 4
linha 42: Wrong indentation for "Step", expected indentation level of 2, but got 4
linha 43: Wrong indentation for "Step", expected indentation level of 2, but got 4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47: Step name is too long. Length of 79 is longer than the maximum allowed: 70
linha 48: Wrong indentation for "Step", expected indentation level of 2, but got 4
linha 48: Step "When I follow "Add a new status"" should not appear after step using keyword then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54: Multiple empty lines are not allowed
linha 55: Multiple empty lines are not allowed
linha 58: Wrong indentation for "Step", expected indentation level of 2, but got 4
linha 59: Wrong indentation for "Step", expected indentation level of 2, but got 4
linha 59: Step "Given I am on the environment control panel" should use And instead of Given
linha 60: Wrong indentation for "Step", expected indentation level of 2, but got 4
linha 60: Step "Given I follow "Plugins"" should use And instead of Given
linha 61: Wrong indentation for "Step", expected indentation level of 2, but got 4
linha 61: Step "Given I check "Comment Classification"" should use And instead of Given
linha 62: Wrong indentation for "Step", expected indentation level of 2, but got 4
linha 63: Wrong indentation for "Step", expected indentation level of 2, but got 4
linha 64: Wrong indentation for "Step", expected indentation level of 2, but got 4
linha 65: Wrong indentation for "Step", expected indentation level of 2, but got 4
linha 66: Wrong indentation for "Step", expected indentation level of 2, but got 4
linha 66: Step "Then I am logged in as "joaosilva"" should use And instead of Then
linha 67: Wrong indentation for "Step", expected indentation level of 2, but got 4
linha 67: Step "Given the following status" should not appear after step using keyword then
linha 68: Wrong indentation for "Step", expected indentation level of 2, but got 4
linha 69: Wrong indentation for "Step", expected indentation level of 2, but got 4
linha 70: Wrong indentation for "Step", expected indentation level of 2, but got 4
linha 71: Wrong indentation for "Step", expected indentation level of 2, but got 4
linha 72: Wrong indentation for "Step", expected indentation level of 2, but got 4
linha 72: Step name is too long. Length of 83 is longer than the maximum allowed: 70
linha 72: Step "Then I should see "added the status Merged" within "#comment-classification-status-list"" should use And instead of Then
linha 74: Multiple empty lines are not allowed
linha 75: Multiple empty lines are not allowed
linha 78: Wrong indentation for "Step", expected indentation level of 2, but got 4
linha 79: Wrong indentation for "Step", expected indentation level of 2, but got 4
linha 79: Step "Given I am on the environment control panel" should use And instead of Given
linha 80: Wrong indentation for "Step", expected indentation level of 2, but got 4
linha 80: Step "Given I follow "Plugins"" should use And instead of Given
linha 81: Wrong indentation for "Step", expected indentation level of 2, but got 4
linha 81: Step "Given I check "Comment Classification"" should use And instead of Given
linha 82: Wrong indentation for "Step", expected indentation level of 2, but got 4
linha 83: Wrong indentation for "Step", expected indentation level of 2, but got 4
linha 84: Wrong indentation for "Step", expected indentation level of 2, but got 4
linha 85: Wrong indentation for "Step", expected indentation level of 2, but got 4
linha 86: Wrong indentation for "Step", expected indentation level of 2, but got 4
linha 86: Step "Then I am logged in as "joaosilva"" should use And instead of Then
linha 87: Wrong indentation for "Step", expected indentation level of 2, but got 4
linha 88: Wrong indentation for "Step", expected indentation level of 2, but got 4
linha 88: Step "When I go to article "Article to comment"" should not appear after step using keyword then
linha 89: Wrong indentation for "Step", expected indentation level of 2, but got 4
linha 90: Wrong indentation for "Step", expected indentation level of 2, but got 4
linha 92: Multiple empty lines are not allowed
linha 93: Multiple empty lines are not allowed</t>
  </si>
  <si>
    <t>linha 6: Step "Given I am on the environment control panel" should use And instead of Given
linha 7: Step "Given I follow "Plugins"" should use And instead of Given
linha 8: Step "Given I check "Comment Classification"" should use And instead of Given
linha 13: Step "Then I am logged in as "joaosilva"" should use And instead of Then
linha 14: Step "Given the following articles" should not appear after step using keyword then
linha 16: Step "Given I am on article "Article on a person profile"" should not appear after step using keyword then
linha 16: Step "Given I am on article "Article on a person profile"" should use And instead of Given
linha 20: Multiple empty lines are not allowed
linha 21: Multiple empty lines are not allowed
linha 25: Step "Given I am on the environment control panel" should use And instead of Given
linha 26: Step "Given I follow "Plugins"" should use And instead of Given
linha 27: Step "Given I check "Comment Classification"" should use And instead of Given
linha 32: Step "Then I am logged in as "joaosilva"" should use And instead of Then
linha 33: Step "Given I am on article "Article to comment"" should not appear after step using keyword then
linha 37: Multiple empty lines are not allowed
linha 38: Multiple empty lines are not allowed
linha 47: Step name is too long. Length of 79 is longer than the maximum allowed: 70
linha 48: Step "When I follow "Add a new status"" should not appear after step using keyword then
linha 54: Multiple empty lines are not allowed
linha 55: Multiple empty lines are not allowed
linha 59: Step "Given I am on the environment control panel" should use And instead of Given
linha 60: Step "Given I follow "Plugins"" should use And instead of Given
linha 61: Step "Given I check "Comment Classification"" should use And instead of Given
linha 66: Step "Then I am logged in as "joaosilva"" should use And instead of Then
linha 67: Step "Given the following status" should not appear after step using keyword then
linha 72: Step name is too long. Length of 83 is longer than the maximum allowed: 70
linha 72: Step "Then I should see "added the status Merged" within "#comment-classification-status-list"" should use And instead of Then
linha 74: Multiple empty lines are not allowed
linha 75: Multiple empty lines are not allowed
linha 79: Step "Given I am on the environment control panel" should use And instead of Given
linha 80: Step "Given I follow "Plugins"" should use And instead of Given
linha 81: Step "Given I check "Comment Classification"" should use And instead of Given
linha 86: Step "Then I am logged in as "joaosilva"" should use And instead of Then
linha 88: Step "When I go to article "Article to comment"" should not appear after step using keyword then
linha 92: Multiple empty lines are not allowed
linha 93: Multiple empty lines are not allowed</t>
  </si>
  <si>
    <t>linha 6: Step "Given I am on the environment control panel" should use And instead of Given
linha 7: Step "Given I follow "Plugins"" should use And instead of Given
linha 8: Step "Given I check "Comment Classification"" should use And instead of Given
linha 13: Step "Then I am logged in as "joaosilva"" should use And instead of Then
linha 14: Step "Given the following articles" should not appear after step using keyword then
linha 16: Step "Given I am on article "Article on a person profile"" should not appear after step using keyword then
linha 16: Step "Given I am on article "Article on a person profile"" should use And instead of Given
linha 25: Step "Given I am on the environment control panel" should use And instead of Given
linha 26: Step "Given I follow "Plugins"" should use And instead of Given
linha 27: Step "Given I check "Comment Classification"" should use And instead of Given
linha 32: Step "Then I am logged in as "joaosilva"" should use And instead of Then
linha 33: Step "Given I am on article "Article to comment"" should not appear after step using keyword then
linha 47: Step name is too long. Length of 79 is longer than the maximum allowed: 70
linha 48: Step "When I follow "Add a new status"" should not appear after step using keyword then
linha 59: Step "Given I am on the environment control panel" should use And instead of Given
linha 60: Step "Given I follow "Plugins"" should use And instead of Given
linha 61: Step "Given I check "Comment Classification"" should use And instead of Given
linha 66: Step "Then I am logged in as "joaosilva"" should use And instead of Then
linha 67: Step "Given the following status" should not appear after step using keyword then
linha 72: Step name is too long. Length of 83 is longer than the maximum allowed: 70
linha 72: Step "Then I should see "added the status Merged" within "#comment-classification-status-list"" should use And instead of Then
linha 79: Step "Given I am on the environment control panel" should use And instead of Given
linha 80: Step "Given I follow "Plugins"" should use And instead of Given
linha 81: Step "Given I check "Comment Classification"" should use And instead of Given
linha 86: Step "Then I am logged in as "joaosilva"" should use And instead of Then
linha 88: Step "When I go to article "Article to comment"" should not appear after step using keyword then</t>
  </si>
  <si>
    <t>linha 4: Wrong indentation for "Step", expected indentation level of 2, but got 4
linha 5: Wrong indentation for "Step", expected indentation level of 2, but got 4
linha 7: Multiple empty lines are not allowed
linha 8: Multiple empty lines are not allowed
linha 10: Wrong indentation for "Step", expected indentation level of 2, but got 4
linha 10: Step name is too long. Length of 107 is longer than the maximum allowed: 70
linha 11: Wrong indentation for "Step", expected indentation level of 2, but got 4
linha 12: Wrong indentation for "Step", expected indentation level of 2, but got 4
linha 13: Wrong indentation for "Step", expected indentation level of 2, but got 4
linha 15: Multiple empty lines are not allowed
linha 16: Multiple empty lines are not allowed
linha 18: Wrong indentation for "Step", expected indentation level of 2, but got 4
linha 18: Step name is too long. Length of 107 is longer than the maximum allowed: 70
linha 19: Wrong indentation for "Step", expected indentation level of 2, but got 4
linha 20: Wrong indentation for "Step", expected indentation level of 2, but got 4
linha 21: Wrong indentation for "Step", expected indentation level of 2, but got 4
linha 23: Multiple empty lines are not allowed
linha 24: Multiple empty lines are not allowed
linha 26: Wrong indentation for "Step", expected indentation level of 2, but got 4
linha 26: Step name is too long. Length of 99 is longer than the maximum allowed: 70
linha 27: Wrong indentation for "Step", expected indentation level of 2, but got 4
linha 27: Step name is too long. Length of 85 is longer than the maximum allowed: 70
linha 28: Wrong indentation for "Step", expected indentation level of 2, but got 4
linha 30: Multiple empty lines are not allowed
linha 31: Multiple empty lines are not allowed
linha 33: Wrong indentation for "Step", expected indentation level of 2, but got 4
linha 33: Step name is too long. Length of 103 is longer than the maximum allowed: 70
linha 34: Wrong indentation for "Step", expected indentation level of 2, but got 4
linha 34: Step name is too long. Length of 85 is longer than the maximum allowed: 70
linha 35: Wrong indentation for "Step", expected indentation level of 2, but got 4
linha 36: Wrong indentation for "Step", expected indentation level of 2, but got 4
linha 38: Multiple empty lines are not allowed
linha 39: Multiple empty lines are not allowed
linha 41: Wrong indentation for "Step", expected indentation level of 2, but got 4
linha 41: Step name is too long. Length of 103 is longer than the maximum allowed: 70
linha 42: Wrong indentation for "Step", expected indentation level of 2, but got 4
linha 42: Step name is too long. Length of 85 is longer than the maximum allowed: 70
linha 43: Wrong indentation for "Step", expected indentation level of 2, but got 4
linha 45: Multiple empty lines are not allowed
linha 46: Multiple empty lines are not allowed
linha 47: Scenario name is too long. Length of 79 is longer than the maximum allowed: 70
linha 48: Wrong indentation for "Step", expected indentation level of 2, but got 4
linha 48: Step name is too long. Length of 114 is longer than the maximum allowed: 70
linha 49: Wrong indentation for "Step", expected indentation level of 2, but got 4
linha 49: Step name is too long. Length of 85 is longer than the maximum allowed: 70
linha 50: Wrong indentation for "Step", expected indentation level of 2, but got 4
linha 51: Wrong indentation for "Step", expected indentation level of 2, but got 4
linha 53: Multiple empty lines are not allowed
linha 54: Multiple empty lines are not allowed
linha 56: Wrong indentation for "Step", expected indentation level of 2, but got 4
linha 56: Step name is too long. Length of 114 is longer than the maximum allowed: 70
linha 57: Wrong indentation for "Step", expected indentation level of 2, but got 4
linha 57: Step name is too long. Length of 85 is longer than the maximum allowed: 70
linha 58: Wrong indentation for "Step", expected indentation level of 2, but got 4
linha 59: Wrong indentation for "Step", expected indentation level of 2, but got 4
linha 61: Multiple empty lines are not allowed
linha 62: Multiple empty lines are not allowed
linha 64: Wrong indentation for "Step", expected indentation level of 2, but got 4
linha 64: Step name is too long. Length of 109 is longer than the maximum allowed: 70
linha 65: Wrong indentation for "Step", expected indentation level of 2, but got 4
linha 65: Step name is too long. Length of 88 is longer than the maximum allowed: 70
linha 66: Wrong indentation for "Step", expected indentation level of 2, but got 4
linha 67: Wrong indentation for "Step", expected indentation level of 2, but got 4
linha 69: Multiple empty lines are not allowed
linha 70: Multiple empty lines are not allowed
linha 72: Wrong indentation for "Step", expected indentation level of 2, but got 4
linha 72: Step name is too long. Length of 103 is longer than the maximum allowed: 70
linha 73: Wrong indentation for "Step", expected indentation level of 2, but got 4
linha 73: Step name is too long. Length of 88 is longer than the maximum allowed: 70
linha 74: Wrong indentation for "Step", expected indentation level of 2, but got 4
linha 75: Wrong indentation for "Step", expected indentation level of 2, but got 4
linha 77: Multiple empty lines are not allowed
linha 78: Multiple empty lines are not allowed
linha 80: Wrong indentation for "Step", expected indentation level of 2, but got 4
linha 80: Step name is too long. Length of 103 is longer than the maximum allowed: 70
linha 81: Wrong indentation for "Step", expected indentation level of 2, but got 4
linha 81: Step name is too long. Length of 72 is longer than the maximum allowed: 70
linha 82: Wrong indentation for "Step", expected indentation level of 2, but got 4
linha 83: Wrong indentation for "Step", expected indentation level of 2, but got 4
linha 85: Multiple empty lines are not allowed
linha 86: Multiple empty lines are not allowed
linha 88: Wrong indentation for "Step", expected indentation level of 2, but got 4
linha 88: Step name is too long. Length of 107 is longer than the maximum allowed: 70
linha 89: Wrong indentation for "Step", expected indentation level of 2, but got 4
linha 89: Step name is too long. Length of 118 is longer than the maximum allowed: 70
linha 90: Wrong indentation for "Step", expected indentation level of 2, but got 4
linha 91: Wrong indentation for "Step", expected indentation level of 2, but got 4
linha 93: Multiple empty lines are not allowed
linha 94: Multiple empty lines are not allowed</t>
  </si>
  <si>
    <t>linha 7: Multiple empty lines are not allowed
linha 8: Multiple empty lines are not allowed
linha 10: Step name is too long. Length of 107 is longer than the maximum allowed: 70
linha 15: Multiple empty lines are not allowed
linha 16: Multiple empty lines are not allowed
linha 18: Step name is too long. Length of 107 is longer than the maximum allowed: 70
linha 23: Multiple empty lines are not allowed
linha 24: Multiple empty lines are not allowed
linha 26: Step name is too long. Length of 99 is longer than the maximum allowed: 70
linha 27: Step name is too long. Length of 85 is longer than the maximum allowed: 70
linha 30: Multiple empty lines are not allowed
linha 31: Multiple empty lines are not allowed
linha 33: Step name is too long. Length of 103 is longer than the maximum allowed: 70
linha 34: Step name is too long. Length of 85 is longer than the maximum allowed: 70
linha 38: Multiple empty lines are not allowed
linha 39: Multiple empty lines are not allowed
linha 41: Step name is too long. Length of 103 is longer than the maximum allowed: 70
linha 42: Step name is too long. Length of 85 is longer than the maximum allowed: 70
linha 45: Multiple empty lines are not allowed
linha 46: Multiple empty lines are not allowed
linha 47: Scenario name is too long. Length of 79 is longer than the maximum allowed: 70
linha 48: Step name is too long. Length of 114 is longer than the maximum allowed: 70
linha 49: Step name is too long. Length of 85 is longer than the maximum allowed: 70
linha 53: Multiple empty lines are not allowed
linha 54: Multiple empty lines are not allowed
linha 56: Step name is too long. Length of 114 is longer than the maximum allowed: 70
linha 57: Step name is too long. Length of 85 is longer than the maximum allowed: 70
linha 61: Multiple empty lines are not allowed
linha 62: Multiple empty lines are not allowed
linha 64: Step name is too long. Length of 109 is longer than the maximum allowed: 70
linha 65: Step name is too long. Length of 88 is longer than the maximum allowed: 70
linha 69: Multiple empty lines are not allowed
linha 70: Multiple empty lines are not allowed
linha 72: Step name is too long. Length of 103 is longer than the maximum allowed: 70
linha 73: Step name is too long. Length of 88 is longer than the maximum allowed: 70
linha 77: Multiple empty lines are not allowed
linha 78: Multiple empty lines are not allowed
linha 80: Step name is too long. Length of 103 is longer than the maximum allowed: 70
linha 81: Step name is too long. Length of 72 is longer than the maximum allowed: 70
linha 85: Multiple empty lines are not allowed
linha 86: Multiple empty lines are not allowed
linha 88: Step name is too long. Length of 107 is longer than the maximum allowed: 70
linha 89: Step name is too long. Length of 118 is longer than the maximum allowed: 70
linha 93: Multiple empty lines are not allowed
linha 94: Multiple empty lines are not allowed</t>
  </si>
  <si>
    <t>linha 10: Step name is too long. Length of 107 is longer than the maximum allowed: 70
linha 18: Step name is too long. Length of 107 is longer than the maximum allowed: 70
linha 26: Step name is too long. Length of 99 is longer than the maximum allowed: 70
linha 27: Step name is too long. Length of 85 is longer than the maximum allowed: 70
linha 33: Step name is too long. Length of 103 is longer than the maximum allowed: 70
linha 34: Step name is too long. Length of 85 is longer than the maximum allowed: 70
linha 41: Step name is too long. Length of 103 is longer than the maximum allowed: 70
linha 42: Step name is too long. Length of 85 is longer than the maximum allowed: 70
linha 47: Scenario name is too long. Length of 79 is longer than the maximum allowed: 70
linha 48: Step name is too long. Length of 114 is longer than the maximum allowed: 70
linha 49: Step name is too long. Length of 85 is longer than the maximum allowed: 70
linha 56: Step name is too long. Length of 114 is longer than the maximum allowed: 70
linha 57: Step name is too long. Length of 85 is longer than the maximum allowed: 70
linha 64: Step name is too long. Length of 109 is longer than the maximum allowed: 70
linha 65: Step name is too long. Length of 88 is longer than the maximum allowed: 70
linha 72: Step name is too long. Length of 103 is longer than the maximum allowed: 70
linha 73: Step name is too long. Length of 88 is longer than the maximum allowed: 70
linha 80: Step name is too long. Length of 103 is longer than the maximum allowed: 70
linha 81: Step name is too long. Length of 72 is longer than the maximum allowed: 70
linha 88: Step name is too long. Length of 107 is longer than the maximum allowed: 70
linha 89: Step name is too long. Length of 118 is longer than the maximum allowed: 70</t>
  </si>
  <si>
    <t>linha 3: Trailing spaces are not allowed
linha 3: Missing Scenario name
linha 4: Wrong indentation for "Step", expected indentation level of 2, but got 4
linha 4: Step name is too long. Length of 75 is longer than the maximum allowed: 70
linha 5: Wrong indentation for "Step", expected indentation level of 2, but got 4
linha 5: Step "When I send a "GET" request to "/api/v3/profile/me/scopes"" should use And instead of When
linha 6: Wrong indentation for "Step", expected indentation level of 2, but got 4
linha 7: Wrong indentation for "Step", expected indentation level of 2, but got 4
linha 8: Wrong indentation for "Step", expected indentation level of 2, but got 4
linha 10: Multiple empty lines are not allowed
linha 11: Multiple empty lines are not allowed
linha 12: Scenario name is already used in: output/6-FeatureEvaluation/featuresToEvaluation/Originais/parti-renaissance_espace-adherent/scopes_story_processado.feature:3
linha 12: Trailing spaces are not allowed
linha 12: Missing Scenario name
linha 13: Wrong indentation for "Step", expected indentation level of 2, but got 4
linha 13: Step name is too long. Length of 75 is longer than the maximum allowed: 70
linha 14: Wrong indentation for "Step", expected indentation level of 2, but got 4
linha 14: Step "When I send a "GET" request to "/api/v3/profile/me/scope/deputy"" should use And instead of When
linha 15: Wrong indentation for "Step", expected indentation level of 2, but got 4
linha 16: Wrong indentation for "Step", expected indentation level of 2, but got 4
linha 17: Wrong indentation for "Step", expected indentation level of 2, but got 4
linha 19: Multiple empty lines are not allowed
linha 20: Multiple empty lines are not allowed
linha 21: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
linha 21: Trailing spaces are not allowed
linha 21: Missing Scenario name
linha 22: Wrong indentation for "Step", expected indentation level of 2, but got 4
linha 22: Step name is too long. Length of 75 is longer than the maximum allowed: 70
linha 23: Wrong indentation for "Step", expected indentation level of 2, but got 4
linha 23: Step "When I send a "GET" request to "/api/v3/profile/me/scope/national"" should use And instead of When
linha 24: Wrong indentation for "Step", expected indentation level of 2, but got 4
linha 25: Wrong indentation for "Step", expected indentation level of 2, but got 4
linha 26: Wrong indentation for "Step", expected indentation level of 2, but got 4
linha 28: Multiple empty lines are not allowed
linha 29: Multiple empty lines are not allowed
linha 30: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
linha 30: Trailing spaces are not allowed
linha 30: Missing Scenario name
linha 31: Wrong indentation for "Step", expected indentation level of 2, but got 4
linha 31: Step name is too long. Length of 80 is longer than the maximum allowed: 70
linha 32: Wrong indentation for "Step", expected indentation level of 2, but got 4
linha 32: Step "When I send a "GET" request to "/api/v3/profile/me/scopes"" should use And instead of When
linha 33: Wrong indentation for "Step", expected indentation level of 2, but got 4
linha 34: Wrong indentation for "Step", expected indentation level of 2, but got 4
linha 36: Multiple empty lines are not allowed
linha 37: Multiple empty lines are not allowed
linha 38: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
linha 38: Trailing spaces are not allowed
linha 38: Missing Scenario name
linha 39: Wrong indentation for "Step", expected indentation level of 2, but got 4
linha 39: Step name is too long. Length of 80 is longer than the maximum allowed: 70
linha 40: Wrong indentation for "Step", expected indentation level of 2, but got 4
linha 40: Step name is too long. Length of 99 is longer than the maximum allowed: 70
linha 40: Step "When I send a "GET" request to "/api/v3/profile/me/scope/delegated_d2315289-a3fd-419c-a3dd-3e1ff71b754d"" should use And instead of When
linha 41: Wrong indentation for "Step", expected indentation level of 2, but got 4
linha 42: Wrong indentation for "Step", expected indentation level of 2, but got 4
linha 43: Wrong indentation for "Step", expected indentation level of 2, but got 4
linha 45: Multiple empty lines are not allowed
linha 46: Multiple empty lines are not allowed
linha 47: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
linha 47: Trailing spaces are not allowed
linha 47: Missing Scenario name
linha 48: Wrong indentation for "Step", expected indentation level of 2, but got 4
linha 48: Step name is too long. Length of 77 is longer than the maximum allowed: 70
linha 49: Wrong indentation for "Step", expected indentation level of 2, but got 4
linha 49: Step name is too long. Length of 99 is longer than the maximum allowed: 70
linha 49: Step "When I send a "GET" request to "/api/v3/profile/me/scope/delegated_08f40730-d807-4975-8773-69d8fae1da74"" should use And instead of When
linha 50: Wrong indentation for "Step", expected indentation level of 2, but got 4
linha 51: Wrong indentation for "Step", expected indentation level of 2, but got 4
linha 52: Wrong indentation for "Step", expected indentation level of 2, but got 4
linha 54: Multiple empty lines are not allowed
linha 55: Multiple empty lines are not allowed
linha 56: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
linha 56: Trailing spaces are not allowed
linha 56: Missing Scenario name
linha 57: Wrong indentation for "Step", expected indentation level of 2, but got 4
linha 57: Step name is too long. Length of 85 is longer than the maximum allowed: 70
linha 58: Wrong indentation for "Step", expected indentation level of 2, but got 4
linha 59: Wrong indentation for "Step", expected indentation level of 2, but got 4
linha 60: Wrong indentation for "Step", expected indentation level of 2, but got 4
linha 61: Wrong indentation for "Step", expected indentation level of 2, but got 4
linha 63: Multiple empty lines are not allowed
linha 64: Multiple empty lines are not allowed
linha 65: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output/6-FeatureEvaluation/featuresToEvaluation/Originais/parti-renaissance_espace-adherent/scopes_story_processado.feature:47, output/6-FeatureEvaluation/featuresToEvaluation/Originais/parti-renaissance_espace-adherent/scopes_story_processado.feature:56
linha 65: Trailing spaces are not allowed
linha 65: Missing Scenario name
linha 66: Wrong indentation for "Step", expected indentation level of 2, but got 4
linha 66: Step name is too long. Length of 80 is longer than the maximum allowed: 70
linha 67: Wrong indentation for "Step", expected indentation level of 2, but got 4
linha 67: Step "When I send a "GET" request to "/api/v3/profile/me/scope/test"" should use And instead of When
linha 68: Wrong indentation for "Step", expected indentation level of 2, but got 4
linha 70: Multiple empty lines are not allowed
linha 71: Multiple empty lines are not allowed</t>
  </si>
  <si>
    <t>linha 3: Trailing spaces are not allowed
linha 3: Missing Scenario name
linha 4: Step name is too long. Length of 75 is longer than the maximum allowed: 70
linha 5: Step "When I send a "GET" request to "/api/v3/profile/me/scopes"" should use And instead of When
linha 10: Multiple empty lines are not allowed
linha 11: Multiple empty lines are not allowed
linha 12: Scenario name is already used in: output/6-FeatureEvaluation/featuresToEvaluation/Originais/parti-renaissance_espace-adherent/scopes_story_processado.feature:3
linha 12: Trailing spaces are not allowed
linha 12: Missing Scenario name
linha 13: Step name is too long. Length of 75 is longer than the maximum allowed: 70
linha 14: Step "When I send a "GET" request to "/api/v3/profile/me/scope/deputy"" should use And instead of When
linha 19: Multiple empty lines are not allowed
linha 20: Multiple empty lines are not allowed
linha 21: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
linha 21: Trailing spaces are not allowed
linha 21: Missing Scenario name
linha 22: Step name is too long. Length of 75 is longer than the maximum allowed: 70
linha 23: Step "When I send a "GET" request to "/api/v3/profile/me/scope/national"" should use And instead of When
linha 28: Multiple empty lines are not allowed
linha 29: Multiple empty lines are not allowed
linha 30: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
linha 30: Trailing spaces are not allowed
linha 30: Missing Scenario name
linha 31: Step name is too long. Length of 80 is longer than the maximum allowed: 70
linha 32: Step "When I send a "GET" request to "/api/v3/profile/me/scopes"" should use And instead of When
linha 36: Multiple empty lines are not allowed
linha 37: Multiple empty lines are not allowed
linha 38: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
linha 38: Trailing spaces are not allowed
linha 38: Missing Scenario name
linha 39: Step name is too long. Length of 80 is longer than the maximum allowed: 70
linha 40: Step name is too long. Length of 99 is longer than the maximum allowed: 70
linha 40: Step "When I send a "GET" request to "/api/v3/profile/me/scope/delegated_d2315289-a3fd-419c-a3dd-3e1ff71b754d"" should use And instead of When
linha 45: Multiple empty lines are not allowed
linha 46: Multiple empty lines are not allowed
linha 47: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
linha 47: Trailing spaces are not allowed
linha 47: Missing Scenario name
linha 48: Step name is too long. Length of 77 is longer than the maximum allowed: 70
linha 49: Step name is too long. Length of 99 is longer than the maximum allowed: 70
linha 49: Step "When I send a "GET" request to "/api/v3/profile/me/scope/delegated_08f40730-d807-4975-8773-69d8fae1da74"" should use And instead of When
linha 54: Multiple empty lines are not allowed
linha 55: Multiple empty lines are not allowed
linha 56: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
linha 56: Trailing spaces are not allowed
linha 56: Missing Scenario name
linha 57: Step name is too long. Length of 85 is longer than the maximum allowed: 70
linha 63: Multiple empty lines are not allowed
linha 64: Multiple empty lines are not allowed
linha 65: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output/6-FeatureEvaluation/featuresToEvaluation/Originais/parti-renaissance_espace-adherent/scopes_story_processado.feature:47, output/6-FeatureEvaluation/featuresToEvaluation/Originais/parti-renaissance_espace-adherent/scopes_story_processado.feature:56
linha 65: Trailing spaces are not allowed
linha 65: Missing Scenario name
linha 66: Step name is too long. Length of 80 is longer than the maximum allowed: 70
linha 67: Step "When I send a "GET" request to "/api/v3/profile/me/scope/test"" should use And instead of When
linha 70: Multiple empty lines are not allowed
linha 71: Multiple empty lines are not allowed</t>
  </si>
  <si>
    <t>linha 3: Trailing spaces are not allowed
linha 3: Missing Scenario name
linha 4: Step name is too long. Length of 75 is longer than the maximum allowed: 70
linha 5: Step "When I send a "GET" request to "/api/v3/profile/me/scopes"" should use And instead of When
linha 12: Scenario name is already used in: output/6-FeatureEvaluation/featuresToEvaluation/Originais/parti-renaissance_espace-adherent/scopes_story_processado.feature:3
linha 12: Trailing spaces are not allowed
linha 12: Missing Scenario name
linha 13: Step name is too long. Length of 75 is longer than the maximum allowed: 70
linha 14: Step "When I send a "GET" request to "/api/v3/profile/me/scope/deputy"" should use And instead of When
linha 21: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
linha 21: Trailing spaces are not allowed
linha 21: Missing Scenario name
linha 22: Step name is too long. Length of 75 is longer than the maximum allowed: 70
linha 23: Step "When I send a "GET" request to "/api/v3/profile/me/scope/national"" should use And instead of When
linha 30: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
linha 30: Trailing spaces are not allowed
linha 30: Missing Scenario name
linha 31: Step name is too long. Length of 80 is longer than the maximum allowed: 70
linha 32: Step "When I send a "GET" request to "/api/v3/profile/me/scopes"" should use And instead of When
linha 38: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
linha 38: Trailing spaces are not allowed
linha 38: Missing Scenario name
linha 39: Step name is too long. Length of 80 is longer than the maximum allowed: 70
linha 40: Step name is too long. Length of 99 is longer than the maximum allowed: 70
linha 40: Step "When I send a "GET" request to "/api/v3/profile/me/scope/delegated_d2315289-a3fd-419c-a3dd-3e1ff71b754d"" should use And instead of When
linha 47: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
linha 47: Trailing spaces are not allowed
linha 47: Missing Scenario name
linha 48: Step name is too long. Length of 77 is longer than the maximum allowed: 70
linha 49: Step name is too long. Length of 99 is longer than the maximum allowed: 70
linha 49: Step "When I send a "GET" request to "/api/v3/profile/me/scope/delegated_08f40730-d807-4975-8773-69d8fae1da74"" should use And instead of When
linha 56: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
linha 56: Trailing spaces are not allowed
linha 56: Missing Scenario name
linha 57: Step name is too long. Length of 85 is longer than the maximum allowed: 70
linha 65: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output/6-FeatureEvaluation/featuresToEvaluation/Originais/parti-renaissance_espace-adherent/scopes_story_processado.feature:47, output/6-FeatureEvaluation/featuresToEvaluation/Originais/parti-renaissance_espace-adherent/scopes_story_processado.feature:56
linha 65: Trailing spaces are not allowed
linha 65: Missing Scenario name
linha 66: Step name is too long. Length of 80 is longer than the maximum allowed: 70
linha 67: Step "When I send a "GET" request to "/api/v3/profile/me/scope/test"" should use And instead of When</t>
  </si>
  <si>
    <t>linha 3: Scenario name is too long. Length of 77 is longer than the maximum allowed: 70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8: Step "When I follow "Mettre fin à mon don mensuel"" should not appear after step using keyword then
linha 9: Wrong indentation for "Step", expected indentation level of 2, but got 4
linha 10: Wrong indentation for "Step", expected indentation level of 2, but got 4
linha 11: Wrong indentation for "Step", expected indentation level of 2, but got 4
linha 11: Step "When I press "Non"" should not appear after step using keyword then
linha 12: Wrong indentation for "Step", expected indentation level of 2, but got 4
linha 13: Wrong indentation for "Step", expected indentation level of 2, but got 4
linha 13: Step "When I follow "Mettre fin à mon don mensuel"" should not appear after step using keyword then
linha 14: Wrong indentation for "Step", expected indentation level of 2, but got 4
linha 14: Step "When I press "Oui"" should not appear after step using keyword then
linha 14: Step "When I press "Oui"" should use And instead of When
linha 15: Wrong indentation for "Step", expected indentation level of 2, but got 4
linha 16: Wrong indentation for "Step", expected indentation level of 2, but got 4
linha 16: Step name is too long. Length of 77 is longer than the maximum allowed: 70
linha 18: Multiple empty lines are not allowed
linha 19: Multiple empty lines are not allowed</t>
  </si>
  <si>
    <t>linha 3: Scenario name is too long. Length of 77 is longer than the maximum allowed: 70
linha 8: Step "When I follow "Mettre fin à mon don mensuel"" should not appear after step using keyword then
linha 11: Step "When I press "Non"" should not appear after step using keyword then
linha 13: Step "When I follow "Mettre fin à mon don mensuel"" should not appear after step using keyword then
linha 14: Step "When I press "Oui"" should not appear after step using keyword then
linha 14: Step "When I press "Oui"" should use And instead of When
linha 16: Step name is too long. Length of 77 is longer than the maximum allowed: 70
linha 18: Multiple empty lines are not allowed
linha 19: Multiple empty lines are not allowed</t>
  </si>
  <si>
    <t>linha 3: Scenario name is too long. Length of 77 is longer than the maximum allowed: 70
linha 8: Step "When I follow "Mettre fin à mon don mensuel"" should not appear after step using keyword then
linha 11: Step "When I press "Non"" should not appear after step using keyword then
linha 13: Step "When I follow "Mettre fin à mon don mensuel"" should not appear after step using keyword then
linha 14: Step "When I press "Oui"" should not appear after step using keyword then
linha 14: Step "When I press "Oui"" should use And instead of When
linha 16: Step name is too long. Length of 77 is longer than the maximum allowed: 70</t>
  </si>
  <si>
    <t>linha 3: Scenario name is too long. Length of 74 is longer than the maximum allowed: 70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8: Step "When I send a "GET" request to "/api/zones" with parameters:" should not appear after step using keyword then
linha 9: Wrong indentation for "Step", expected indentation level of 2, but got 4
linha 10: Wrong indentation for "Step", expected indentation level of 2, but got 4
linha 11: Wrong indentation for "Step", expected indentation level of 2, but got 4
linha 13: Multiple empty lines are not allowed
linha 14: Multiple empty lines are not allowed
linha 15: Scenario name is too long. Length of 80 is longer than the maximum allowed: 70
linha 16: Wrong indentation for "Step", expected indentation level of 2, but got 4
linha 16: Step name is too long. Length of 77 is longer than the maximum allowed: 70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22: Multiple empty lines are not allowed
linha 23: Multiple empty lines are not allowed
linha 24: Scenario name is too long. Length of 80 is longer than the maximum allowed: 70
linha 24: Scenario name is already used in: output/6-FeatureEvaluation/featuresToEvaluation/Originais/parti-renaissance_espace-adherent/zones_story_processado.feature:15
linha 25: Wrong indentation for "Step", expected indentation level of 2, but got 4
linha 25: Step name is too long. Length of 77 is longer than the maximum allowed: 70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31: Multiple empty lines are not allowed
linha 32: Multiple empty lines are not allowed</t>
  </si>
  <si>
    <t>linha 3: Scenario name is too long. Length of 74 is longer than the maximum allowed: 70
linha 8: Step "When I send a "GET" request to "/api/zones" with parameters:" should not appear after step using keyword then
linha 13: Multiple empty lines are not allowed
linha 14: Multiple empty lines are not allowed
linha 15: Scenario name is too long. Length of 80 is longer than the maximum allowed: 70
linha 16: Step name is too long. Length of 77 is longer than the maximum allowed: 70
linha 22: Multiple empty lines are not allowed
linha 23: Multiple empty lines are not allowed
linha 24: Scenario name is too long. Length of 80 is longer than the maximum allowed: 70
linha 24: Scenario name is already used in: output/6-FeatureEvaluation/featuresToEvaluation/Originais/parti-renaissance_espace-adherent/zones_story_processado.feature:15
linha 25: Step name is too long. Length of 77 is longer than the maximum allowed: 70
linha 31: Multiple empty lines are not allowed
linha 32: Multiple empty lines are not allowed</t>
  </si>
  <si>
    <t>linha 3: Scenario name is too long. Length of 74 is longer than the maximum allowed: 70
linha 8: Step "When I send a "GET" request to "/api/zones" with parameters:" should not appear after step using keyword then
linha 15: Scenario name is too long. Length of 80 is longer than the maximum allowed: 70
linha 16: Step name is too long. Length of 77 is longer than the maximum allowed: 70
linha 24: Scenario name is too long. Length of 80 is longer than the maximum allowed: 70
linha 24: Scenario name is already used in: output/6-FeatureEvaluation/featuresToEvaluation/Originais/parti-renaissance_espace-adherent/zones_story_processado.feature:15
linha 25: Step name is too long. Length of 77 is longer than the maximum allowed: 70</t>
  </si>
  <si>
    <t>linha 3: Scenario name is too long. Length of 87 is longer than the maximum allowed: 70
linha 3: Element Scenario too long: actual 31, expected 15
linha 4: Wrong indentation for "Step", expected indentation level of 2, but got 4
linha 4: Step name is too long. Length of 76 is longer than the maximum allowed: 70
linha 5: Wrong indentation for "Step", expected indentation level of 2, but got 4
linha 6: Wrong indentation for "Step", expected indentation level of 2, but got 4
linha 6: Step name is too long. Length of 92 is longer than the maximum allowed: 70
linha 7: Wrong indentation for "Step", expected indentation level of 2, but got 4
linha 7: Step "When I answer "Yes" to the custom educator screening question" should not appear after step using keyword then
linha 8: Wrong indentation for "Step", expected indentation level of 2, but got 4
linha 8: Step name is too long. Length of 71 is longer than the maximum allowed: 70
linha 9: Wrong indentation for "Step", expected indentation level of 2, but got 4
linha 10: Wrong indentation for "Step", expected indentation level of 2, but got 4
linha 11: Wrong indentation for "Step", expected indentation level of 2, but got 4
linha 11: Step "When I fill out the Job Code field with a valid Job Classification Number" should not appear after step using keyword then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73 is longer than the maximum allowed: 70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31: Step name is too long. Length of 116 is longer than the maximum allowed: 70
linha 32: Wrong indentation for "Step", expected indentation level of 2, but got 4
linha 32: Step "When I confirm details on the review page" should not appear after step using keyword then
linha 33: Wrong indentation for "Step", expected indentation level of 2, but got 4
linha 33: Step "When I agree to the terms and submit" should not appear after step using keyword then
linha 33: Step "When I agree to the terms and submit" should use And instead of When
linha 34: Wrong indentation for "Step", expected indentation level of 2, but got 4
linha 36: Multiple empty lines are not allowed
linha 37: Multiple empty lines are not allowed
linha 38: Scenario name is too long. Length of 86 is longer than the maximum allowed: 70
linha 39: Wrong indentation for "Step", expected indentation level of 2, but got 4
linha 39: Step name is too long. Length of 76 is longer than the maximum allowed: 70
linha 40: Wrong indentation for "Step", expected indentation level of 2, but got 4
linha 41: Wrong indentation for "Step", expected indentation level of 2, but got 4
linha 41: Step name is too long. Length of 92 is longer than the maximum allowed: 70
linha 42: Wrong indentation for "Step", expected indentation level of 2, but got 4
linha 42: Step "When I answer "No" to the custom educator screening question" should not appear after step using keyword then
linha 43: Wrong indentation for "Step", expected indentation level of 2, but got 4
linha 43: Step "When I hit the Next button "1" times" should not appear after step using keyword then
linha 43: Step "When I hit the Next button "1" times" should use And instead of When
linha 44: Wrong indentation for "Step", expected indentation level of 2, but got 4
linha 44: Step name is too long. Length of 92 is longer than the maximum allowed: 70
linha 45: Wrong indentation for "Step", expected indentation level of 2, but got 4
linha 47: Multiple empty lines are not allowed
linha 48: Multiple empty lines are not allowed</t>
  </si>
  <si>
    <t>linha 3: Scenario name is too long. Length of 87 is longer than the maximum allowed: 70
linha 3: Element Scenario too long: actual 31, expected 15
linha 4: Step name is too long. Length of 76 is longer than the maximum allowed: 70
linha 6: Step name is too long. Length of 92 is longer than the maximum allowed: 70
linha 7: Step "When I answer "Yes" to the custom educator screening question" should not appear after step using keyword then
linha 8: Step name is too long. Length of 71 is longer than the maximum allowed: 70
linha 11: Step "When I fill out the Job Code field with a valid Job Classification Number" should not appear after step using keyword then
linha 15: Step name is too long. Length of 73 is longer than the maximum allowed: 70
linha 31: Step name is too long. Length of 116 is longer than the maximum allowed: 70
linha 32: Step "When I confirm details on the review page" should not appear after step using keyword then
linha 33: Step "When I agree to the terms and submit" should not appear after step using keyword then
linha 33: Step "When I agree to the terms and submit" should use And instead of When
linha 36: Multiple empty lines are not allowed
linha 37: Multiple empty lines are not allowed
linha 38: Scenario name is too long. Length of 86 is longer than the maximum allowed: 70
linha 39: Step name is too long. Length of 76 is longer than the maximum allowed: 70
linha 41: Step name is too long. Length of 92 is longer than the maximum allowed: 70
linha 42: Step "When I answer "No" to the custom educator screening question" should not appear after step using keyword then
linha 43: Step "When I hit the Next button "1" times" should not appear after step using keyword then
linha 43: Step "When I hit the Next button "1" times" should use And instead of When
linha 44: Step name is too long. Length of 92 is longer than the maximum allowed: 70
linha 47: Multiple empty lines are not allowed
linha 48: Multiple empty lines are not allowed</t>
  </si>
  <si>
    <t>linha 3: Scenario name is too long. Length of 87 is longer than the maximum allowed: 70
linha 3: Element Scenario too long: actual 31, expected 15
linha 4: Step name is too long. Length of 76 is longer than the maximum allowed: 70
linha 6: Step name is too long. Length of 92 is longer than the maximum allowed: 70
linha 7: Step "When I answer "Yes" to the custom educator screening question" should not appear after step using keyword then
linha 8: Step name is too long. Length of 71 is longer than the maximum allowed: 70
linha 11: Step "When I fill out the Job Code field with a valid Job Classification Number" should not appear after step using keyword then
linha 15: Step name is too long. Length of 73 is longer than the maximum allowed: 70
linha 31: Step name is too long. Length of 116 is longer than the maximum allowed: 70
linha 32: Step "When I confirm details on the review page" should not appear after step using keyword then
linha 33: Step "When I agree to the terms and submit" should not appear after step using keyword then
linha 33: Step "When I agree to the terms and submit" should use And instead of When
linha 38: Scenario name is too long. Length of 86 is longer than the maximum allowed: 70
linha 39: Step name is too long. Length of 76 is longer than the maximum allowed: 70
linha 41: Step name is too long. Length of 92 is longer than the maximum allowed: 70
linha 42: Step "When I answer "No" to the custom educator screening question" should not appear after step using keyword then
linha 43: Step "When I hit the Next button "1" times" should not appear after step using keyword then
linha 43: Step "When I hit the Next button "1" times" should use And instead of When
linha 44: Step name is too long. Length of 92 is longer than the maximum allowed: 70</t>
  </si>
  <si>
    <t>linha 3: Scenario name is too long. Length of 87 is longer than the maximum allowed: 70
linha 3: Element Scenario too long: actual 31, expected 15
linha 4: Wrong indentation for "Step", expected indentation level of 2, but got 4
linha 4: Step name is too long. Length of 76 is longer than the maximum allowed: 70
linha 5: Wrong indentation for "Step", expected indentation level of 2, but got 4
linha 6: Wrong indentation for "Step", expected indentation level of 2, but got 4
linha 6: Step name is too long. Length of 92 is longer than the maximum allowed: 70
linha 7: Wrong indentation for "Step", expected indentation level of 2, but got 4
linha 7: Step "When I answer "Yes" to the custom educator screening question" should not appear after step using keyword then
linha 8: Wrong indentation for "Step", expected indentation level of 2, but got 4
linha 8: Step name is too long. Length of 71 is longer than the maximum allowed: 70
linha 9: Wrong indentation for "Step", expected indentation level of 2, but got 4
linha 10: Wrong indentation for "Step", expected indentation level of 2, but got 4
linha 11: Wrong indentation for "Step", expected indentation level of 2, but got 4
linha 11: Step "When I fill out the Job Code field with a valid Job Classification Number" should not appear after step using keyword then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73 is longer than the maximum allowed: 70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31: Step name is too long. Length of 116 is longer than the maximum allowed: 70
linha 32: Wrong indentation for "Step", expected indentation level of 2, but got 4
linha 32: Step "When I confirm details on the review page" should not appear after step using keyword then
linha 33: Wrong indentation for "Step", expected indentation level of 2, but got 4
linha 33: Step "When I agree to the terms and submit" should not appear after step using keyword then
linha 33: Step "When I agree to the terms and submit" should use And instead of When
linha 34: Wrong indentation for "Step", expected indentation level of 2, but got 4
linha 36: Multiple empty lines are not allowed
linha 37: Multiple empty lines are not allowed
linha 38: Scenario name is too long. Length of 86 is longer than the maximum allowed: 70
linha 38: Element Scenario too long: actual 28, expected 15
linha 39: Wrong indentation for "Step", expected indentation level of 2, but got 4
linha 39: Step name is too long. Length of 76 is longer than the maximum allowed: 70
linha 40: Wrong indentation for "Step", expected indentation level of 2, but got 4
linha 41: Wrong indentation for "Step", expected indentation level of 2, but got 4
linha 41: Step name is too long. Length of 92 is longer than the maximum allowed: 70
linha 42: Wrong indentation for "Step", expected indentation level of 2, but got 4
linha 42: Step "When I answer "No" to the custom educator screening question" should not appear after step using keyword then
linha 43: Wrong indentation for "Step", expected indentation level of 2, but got 4
linha 44: Wrong indentation for "Step", expected indentation level of 2, but got 4
linha 44: Step "When I hit the Next button "1" times" should not appear after step using keyword then
linha 45: Wrong indentation for "Step", expected indentation level of 2, but got 4
linha 46: Wrong indentation for "Step", expected indentation level of 2, but got 4
linha 47: Wrong indentation for "Step", expected indentation level of 2, but got 4
linha 47: Step name is too long. Length of 73 is longer than the maximum allowed: 70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53: Wrong indentation for "Step", expected indentation level of 2, but got 4
linha 54: Wrong indentation for "Step", expected indentation level of 2, but got 4
linha 55: Wrong indentation for "Step", expected indentation level of 2, but got 4
linha 56: Wrong indentation for "Step", expected indentation level of 2, but got 4
linha 57: Wrong indentation for "Step", expected indentation level of 2, but got 4
linha 58: Wrong indentation for "Step", expected indentation level of 2, but got 4
linha 59: Wrong indentation for "Step", expected indentation level of 2, but got 4
linha 60: Wrong indentation for "Step", expected indentation level of 2, but got 4
linha 61: Wrong indentation for "Step", expected indentation level of 2, but got 4
linha 62: Wrong indentation for "Step", expected indentation level of 2, but got 4
linha 63: Wrong indentation for "Step", expected indentation level of 2, but got 4
linha 63: Step name is too long. Length of 87 is longer than the maximum allowed: 70
linha 64: Wrong indentation for "Step", expected indentation level of 2, but got 4
linha 64: Step "When I confirm details on the review page" should not appear after step using keyword then
linha 65: Wrong indentation for "Step", expected indentation level of 2, but got 4
linha 66: Wrong indentation for "Step", expected indentation level of 2, but got 4
linha 68: Multiple empty lines are not allowed
linha 69: Multiple empty lines are not allowed</t>
  </si>
  <si>
    <t>linha 3: Scenario name is too long. Length of 87 is longer than the maximum allowed: 70
linha 3: Element Scenario too long: actual 31, expected 15
linha 4: Step name is too long. Length of 76 is longer than the maximum allowed: 70
linha 6: Step name is too long. Length of 92 is longer than the maximum allowed: 70
linha 7: Step "When I answer "Yes" to the custom educator screening question" should not appear after step using keyword then
linha 8: Step name is too long. Length of 71 is longer than the maximum allowed: 70
linha 11: Step "When I fill out the Job Code field with a valid Job Classification Number" should not appear after step using keyword then
linha 15: Step name is too long. Length of 73 is longer than the maximum allowed: 70
linha 31: Step name is too long. Length of 116 is longer than the maximum allowed: 70
linha 32: Step "When I confirm details on the review page" should not appear after step using keyword then
linha 33: Step "When I agree to the terms and submit" should not appear after step using keyword then
linha 33: Step "When I agree to the terms and submit" should use And instead of When
linha 36: Multiple empty lines are not allowed
linha 37: Multiple empty lines are not allowed
linha 38: Scenario name is too long. Length of 86 is longer than the maximum allowed: 70
linha 38: Element Scenario too long: actual 28, expected 15
linha 39: Step name is too long. Length of 76 is longer than the maximum allowed: 70
linha 41: Step name is too long. Length of 92 is longer than the maximum allowed: 70
linha 42: Step "When I answer "No" to the custom educator screening question" should not appear after step using keyword then
linha 44: Step "When I hit the Next button "1" times" should not appear after step using keyword then
linha 47: Step name is too long. Length of 73 is longer than the maximum allowed: 70
linha 63: Step name is too long. Length of 87 is longer than the maximum allowed: 70
linha 64: Step "When I confirm details on the review page" should not appear after step using keyword then
linha 68: Multiple empty lines are not allowed
linha 69: Multiple empty lines are not allowed</t>
  </si>
  <si>
    <t>linha 3: Scenario name is too long. Length of 87 is longer than the maximum allowed: 70
linha 3: Element Scenario too long: actual 31, expected 15
linha 4: Step name is too long. Length of 76 is longer than the maximum allowed: 70
linha 6: Step name is too long. Length of 92 is longer than the maximum allowed: 70
linha 7: Step "When I answer "Yes" to the custom educator screening question" should not appear after step using keyword then
linha 8: Step name is too long. Length of 71 is longer than the maximum allowed: 70
linha 11: Step "When I fill out the Job Code field with a valid Job Classification Number" should not appear after step using keyword then
linha 15: Step name is too long. Length of 73 is longer than the maximum allowed: 70
linha 31: Step name is too long. Length of 116 is longer than the maximum allowed: 70
linha 32: Step "When I confirm details on the review page" should not appear after step using keyword then
linha 33: Step "When I agree to the terms and submit" should not appear after step using keyword then
linha 33: Step "When I agree to the terms and submit" should use And instead of When
linha 38: Scenario name is too long. Length of 86 is longer than the maximum allowed: 70
linha 38: Element Scenario too long: actual 28, expected 15
linha 39: Step name is too long. Length of 76 is longer than the maximum allowed: 70
linha 41: Step name is too long. Length of 92 is longer than the maximum allowed: 70
linha 42: Step "When I answer "No" to the custom educator screening question" should not appear after step using keyword then
linha 44: Step "When I hit the Next button "1" times" should not appear after step using keyword then
linha 47: Step name is too long. Length of 73 is longer than the maximum allowed: 70
linha 63: Step name is too long. Length of 87 is longer than the maximum allowed: 70
linha 64: Step "When I confirm details on the review page" should not appear after step using keyword then</t>
  </si>
  <si>
    <t>linha 3: Scenario name is too long. Length of 78 is longer than the maximum allowed: 70
linha 4: Wrong indentation for "Step", expected indentation level of 2, but got 4
linha 5: Wrong indentation for "Step", expected indentation level of 2, but got 4
linha 6: Wrong indentation for "Step", expected indentation level of 2, but got 4
linha 6: Step name is too long. Length of 73 is longer than the maximum allowed: 70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16: Step name is too long. Length of 77 is longer than the maximum allowed: 70
linha 18: Multiple empty lines are not allowed
linha 19: Multiple empty lines are not allowed
linha 20: Scenario name is too long. Length of 73 is longer than the maximum allowed: 70
linha 20: Element Scenario too long: actual 40, expected 15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27: Step name is too long. Length of 77 is longer than the maximum allowed: 70
linha 28: Wrong indentation for "Step", expected indentation level of 2, but got 4
linha 29: Wrong indentation for "Step", expected indentation level of 2, but got 4
linha 29: Step name is too long. Length of 77 is longer than the maximum allowed: 70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38: Step "When I click the Live in the Neighborhood checkbox" should not appear after step using keyword then
linha 39: Wrong indentation for "Step", expected indentation level of 2, but got 4
linha 39: Step name is too long. Length of 83 is longer than the maximum allowed: 70
linha 40: Wrong indentation for "Step", expected indentation level of 2, but got 4
linha 40: Step "When I select "Jonny Doe" for "neighborhoodResidence" preference" should not appear after step using keyword then
linha 41: Wrong indentation for "Step", expected indentation level of 2, but got 4
linha 42: Wrong indentation for "Step", expected indentation level of 2, but got 4
linha 43: Wrong indentation for "Step", expected indentation level of 2, but got 4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48: Wrong indentation for "Step", expected indentation level of 2, but got 4
linha 49: Wrong indentation for "Step", expected indentation level of 2, but got 4
linha 50: Wrong indentation for "Step", expected indentation level of 2, but got 4
linha 50: Step "When I click the Live in the Neighborhood checkbox" should not appear after step using keyword then
linha 51: Wrong indentation for "Step", expected indentation level of 2, but got 4
linha 51: Step name is too long. Length of 83 is longer than the maximum allowed: 70
linha 52: Wrong indentation for "Step", expected indentation level of 2, but got 4
linha 52: Step "When I click the Live in the Neighborhood checkbox" should not appear after step using keyword then
linha 53: Wrong indentation for "Step", expected indentation level of 2, but got 4
linha 53: Step "When I select "Jeremy Doe" for "neighborhoodResidence" preference" should not appear after step using keyword then
linha 53: Step "When I select "Jeremy Doe" for "neighborhoodResidence" preference" should use And instead of When
linha 54: Wrong indentation for "Step", expected indentation level of 2, but got 4
linha 54: Step name is too long. Length of 80 is longer than the maximum allowed: 70
linha 55: Wrong indentation for "Step", expected indentation level of 2, but got 4
linha 56: Wrong indentation for "Step", expected indentation level of 2, but got 4
linha 57: Wrong indentation for "Step", expected indentation level of 2, but got 4
linha 58: Wrong indentation for "Step", expected indentation level of 2, but got 4
linha 59: Wrong indentation for "Step", expected indentation level of 2, but got 4
linha 60: Wrong indentation for "Step", expected indentation level of 2, but got 4
linha 60: Step name is too long. Length of 91 is longer than the maximum allowed: 70
linha 62: Multiple empty lines are not allowed
linha 63: Multiple empty lines are not allowed</t>
  </si>
  <si>
    <t>linha 3: Scenario name is too long. Length of 78 is longer than the maximum allowed: 70
linha 6: Step name is too long. Length of 73 is longer than the maximum allowed: 70
linha 16: Step name is too long. Length of 77 is longer than the maximum allowed: 70
linha 18: Multiple empty lines are not allowed
linha 19: Multiple empty lines are not allowed
linha 20: Scenario name is too long. Length of 73 is longer than the maximum allowed: 70
linha 20: Element Scenario too long: actual 40, expected 15
linha 27: Step name is too long. Length of 77 is longer than the maximum allowed: 70
linha 29: Step name is too long. Length of 77 is longer than the maximum allowed: 70
linha 38: Step "When I click the Live in the Neighborhood checkbox" should not appear after step using keyword then
linha 39: Step name is too long. Length of 83 is longer than the maximum allowed: 70
linha 40: Step "When I select "Jonny Doe" for "neighborhoodResidence" preference" should not appear after step using keyword then
linha 50: Step "When I click the Live in the Neighborhood checkbox" should not appear after step using keyword then
linha 51: Step name is too long. Length of 83 is longer than the maximum allowed: 70
linha 52: Step "When I click the Live in the Neighborhood checkbox" should not appear after step using keyword then
linha 53: Step "When I select "Jeremy Doe" for "neighborhoodResidence" preference" should not appear after step using keyword then
linha 53: Step "When I select "Jeremy Doe" for "neighborhoodResidence" preference" should use And instead of When
linha 54: Step name is too long. Length of 80 is longer than the maximum allowed: 70
linha 60: Step name is too long. Length of 91 is longer than the maximum allowed: 70
linha 62: Multiple empty lines are not allowed
linha 63: Multiple empty lines are not allowed</t>
  </si>
  <si>
    <t>linha 3: Scenario name is too long. Length of 78 is longer than the maximum allowed: 70
linha 6: Step name is too long. Length of 73 is longer than the maximum allowed: 70
linha 16: Step name is too long. Length of 77 is longer than the maximum allowed: 70
linha 20: Scenario name is too long. Length of 73 is longer than the maximum allowed: 70
linha 20: Element Scenario too long: actual 40, expected 15
linha 27: Step name is too long. Length of 77 is longer than the maximum allowed: 70
linha 29: Step name is too long. Length of 77 is longer than the maximum allowed: 70
linha 38: Step "When I click the Live in the Neighborhood checkbox" should not appear after step using keyword then
linha 39: Step name is too long. Length of 83 is longer than the maximum allowed: 70
linha 40: Step "When I select "Jonny Doe" for "neighborhoodResidence" preference" should not appear after step using keyword then
linha 50: Step "When I click the Live in the Neighborhood checkbox" should not appear after step using keyword then
linha 51: Step name is too long. Length of 83 is longer than the maximum allowed: 70
linha 52: Step "When I click the Live in the Neighborhood checkbox" should not appear after step using keyword then
linha 53: Step "When I select "Jeremy Doe" for "neighborhoodResidence" preference" should not appear after step using keyword then
linha 53: Step "When I select "Jeremy Doe" for "neighborhoodResidence" preference" should use And instead of When
linha 54: Step name is too long. Length of 80 is longer than the maximum allowed: 70
linha 60: Step name is too long. Length of 91 is longer than the maximum allowed: 70</t>
  </si>
  <si>
    <t>linha 4: Wrong indentation for "Step", expected indentation level of 2, but got 4
linha 4: Step name is too long. Length of 72 is longer than the maximum allowed: 70
linha 5: Wrong indentation for "Step", expected indentation level of 2, but got 4
linha 7: Multiple empty lines are not allowed
linha 8: Multiple empty lines are not allowed
linha 9: Scenario name is too long. Length of 98 is longer than the maximum allowed: 70
linha 9: Element Scenario too long: actual 21, expected 15
linha 10: Wrong indentation for "Step", expected indentation level of 2, but got 4
linha 11: Wrong indentation for "Step", expected indentation level of 2, but got 4
linha 12: Wrong indentation for "Step", expected indentation level of 2, but got 4
linha 12: Step name is too long. Length of 82 is longer than the maximum allowed: 70
linha 13: Wrong indentation for "Step", expected indentation level of 2, but got 4
linha 13: Step "When I wait "1" seconds" should not appear after step using keyword then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18: Step name is too long. Length of 82 is longer than the maximum allowed: 70
linha 19: Wrong indentation for "Step", expected indentation level of 2, but got 4
linha 19: Step "When I choose to reconcile my application details by creating a new account" should not appear after step using keyword then
linha 20: Wrong indentation for "Step", expected indentation level of 2, but got 4
linha 21: Wrong indentation for "Step", expected indentation level of 2, but got 4
linha 21: Step name is too long. Length of 153 is longer than the maximum allowed: 70
linha 22: Wrong indentation for "Step", expected indentation level of 2, but got 4
linha 22: Step "When I create an account for "Octavia Butler"" should not appear after step using keyword then
linha 23: Wrong indentation for "Step", expected indentation level of 2, but got 4
linha 24: Wrong indentation for "Step", expected indentation level of 2, but got 4
linha 25: Wrong indentation for "Step", expected indentation level of 2, but got 4
linha 25: Step "When I wait "1" seconds" should not appear after step using keyword then
linha 25: Step "When I wait "1" seconds" should use And instead of When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29: Step name is too long. Length of 77 is longer than the maximum allowed: 70
linha 30: Wrong indentation for "Step", expected indentation level of 2, but got 4
linha 32: Multiple empty lines are not allowed
linha 33: Multiple empty lines are not allowed
linha 34: Scenario name is too long. Length of 98 is longer than the maximum allowed: 70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40: Step name is too long. Length of 82 is longer than the maximum allowed: 70
linha 41: Wrong indentation for "Step", expected indentation level of 2, but got 4
linha 41: Step "When I choose to reconcile my application details by continuing without an account" should not appear after step using keyword then
linha 41: Step name is too long. Length of 77 is longer than the maximum allowed: 70
linha 42: Wrong indentation for "Step", expected indentation level of 2, but got 4
linha 44: Multiple empty lines are not allowed
linha 45: Multiple empty lines are not allowed
linha 47: Wrong indentation for "Step", expected indentation level of 2, but got 4
linha 48: Wrong indentation for "Step", expected indentation level of 2, but got 4
linha 49: Wrong indentation for "Step", expected indentation level of 2, but got 4
linha 50: Wrong indentation for "Step", expected indentation level of 2, but got 4
linha 50: Step "When I sign in as "Alice Walker" with my email pre-filled" should not appear after step using keyword then
linha 51: Wrong indentation for "Step", expected indentation level of 2, but got 4
linha 52: Wrong indentation for "Step", expected indentation level of 2, but got 4
linha 53: Wrong indentation for "Step", expected indentation level of 2, but got 4
linha 54: Wrong indentation for "Step", expected indentation level of 2, but got 4
linha 54: Step name is too long. Length of 75 is longer than the maximum allowed: 70
linha 55: Wrong indentation for "Step", expected indentation level of 2, but got 4
linha 55: Step "When I go to the "My Applications" page" should not appear after step using keyword then
linha 56: Wrong indentation for "Step", expected indentation level of 2, but got 4
linha 57: Wrong indentation for "Step", expected indentation level of 2, but got 4
linha 59: Multiple empty lines are not allowed
linha 60: Multiple empty lines are not allowed
linha 62: Wrong indentation for "Step", expected indentation level of 2, but got 4
linha 63: Wrong indentation for "Step", expected indentation level of 2, but got 4
linha 64: Wrong indentation for "Step", expected indentation level of 2, but got 4
linha 65: Wrong indentation for "Step", expected indentation level of 2, but got 4
linha 66: Wrong indentation for "Step", expected indentation level of 2, but got 4
linha 66: Step name is too long. Length of 106 is longer than the maximum allowed: 70
linha 67: Wrong indentation for "Step", expected indentation level of 2, but got 4
linha 67: Step "Then I hit the Next button "1" time" should use And instead of Then
linha 68: Wrong indentation for "Step", expected indentation level of 2, but got 4
linha 69: Wrong indentation for "Step", expected indentation level of 2, but got 4
linha 70: Wrong indentation for "Step", expected indentation level of 2, but got 4
linha 72: Multiple empty lines are not allowed
linha 73: Multiple empty lines are not allowed
linha 74: Scenario name is too long. Length of 75 is longer than the maximum allowed: 70
linha 75: Wrong indentation for "Step", expected indentation level of 2, but got 4
linha 76: Wrong indentation for "Step", expected indentation level of 2, but got 4
linha 77: Wrong indentation for "Step", expected indentation level of 2, but got 4
linha 78: Wrong indentation for "Step", expected indentation level of 2, but got 4
linha 79: Wrong indentation for "Step", expected indentation level of 2, but got 4
linha 79: Step "When I choose to continue my saved draft" should not appear after step using keyword then
linha 80: Wrong indentation for "Step", expected indentation level of 2, but got 4
linha 81: Wrong indentation for "Step", expected indentation level of 2, but got 4
linha 82: Wrong indentation for "Step", expected indentation level of 2, but got 4
linha 84: Multiple empty lines are not allowed
linha 85: Multiple empty lines are not allowed
linha 86: Scenario name is too long. Length of 80 is longer than the maximum allowed: 70
linha 87: Wrong indentation for "Step", expected indentation level of 2, but got 4
linha 88: Wrong indentation for "Step", expected indentation level of 2, but got 4
linha 89: Wrong indentation for "Step", expected indentation level of 2, but got 4
linha 90: Wrong indentation for "Step", expected indentation level of 2, but got 4
linha 91: Wrong indentation for "Step", expected indentation level of 2, but got 4
linha 92: Wrong indentation for "Step", expected indentation level of 2, but got 4
linha 92: Step "Then I should be on the "Name" page of the application" should use And instead of Then
linha 93: Wrong indentation for "Step", expected indentation level of 2, but got 4
linha 93: Step "When I submit the Name page with my account info" should not appear after step using keyword then
linha 94: Wrong indentation for "Step", expected indentation level of 2, but got 4
linha 95: Wrong indentation for "Step", expected indentation level of 2, but got 4
linha 97: Multiple empty lines are not allowed
linha 98: Multiple empty lines are not allowed
linha 99: Scenario name is too long. Length of 97 is longer than the maximum allowed: 70
linha 100: Wrong indentation for "Step", expected indentation level of 2, but got 4
linha 101: Wrong indentation for "Step", expected indentation level of 2, but got 4
linha 101: Step name is too long. Length of 71 is longer than the maximum allowed: 70
linha 102: Wrong indentation for "Step", expected indentation level of 2, but got 4
linha 103: Wrong indentation for "Step", expected indentation level of 2, but got 4
linha 104: Wrong indentation for "Step", expected indentation level of 2, but got 4
linha 105: Wrong indentation for "Step", expected indentation level of 2, but got 4
linha 106: Wrong indentation for "Step", expected indentation level of 2, but got 4
linha 107: Wrong indentation for "Step", expected indentation level of 2, but got 4
linha 107: Step "When I select my original application and submit" should not appear after step using keyword then
linha 108: Wrong indentation for "Step", expected indentation level of 2, but got 4
linha 109: Wrong indentation for "Step", expected indentation level of 2, but got 4
linha 111: Multiple empty lines are not allowed
linha 112: Multiple empty lines are not allowed
linha 113: Scenario name is too long. Length of 94 is longer than the maximum allowed: 70
linha 114: Wrong indentation for "Step", expected indentation level of 2, but got 4
linha 115: Wrong indentation for "Step", expected indentation level of 2, but got 4
linha 116: Wrong indentation for "Step", expected indentation level of 2, but got 4
linha 117: Wrong indentation for "Step", expected indentation level of 2, but got 4
linha 118: Wrong indentation for "Step", expected indentation level of 2, but got 4
linha 119: Wrong indentation for "Step", expected indentation level of 2, but got 4
linha 119: Step "When I sign in as "Alice Walker" with my email pre-filled" should use And instead of When
linha 120: Wrong indentation for "Step", expected indentation level of 2, but got 4
linha 121: Wrong indentation for "Step", expected indentation level of 2, but got 4
linha 121: Step name is too long. Length of 77 is longer than the maximum allowed: 70
linha 122: Wrong indentation for "Step", expected indentation level of 2, but got 4
linha 123: Wrong indentation for "Step", expected indentation level of 2, but got 4
linha 124: Wrong indentation for "Step", expected indentation level of 2, but got 4
linha 126: Multiple empty lines are not allowed
linha 127: Multiple empty lines are not allowed
linha 128: Scenario name is too long. Length of 93 is longer than the maximum allowed: 70
linha 128: Element Scenario too long: actual 36, expected 15
linha 129: Wrong indentation for "Step", expected indentation level of 2, but got 4
linha 130: Wrong indentation for "Step", expected indentation level of 2, but got 4
linha 131: Wrong indentation for "Step", expected indentation level of 2, but got 4
linha 132: Wrong indentation for "Step", expected indentation level of 2, but got 4
linha 133: Wrong indentation for "Step", expected indentation level of 2, but got 4
linha 134: Wrong indentation for "Step", expected indentation level of 2, but got 4
linha 135: Wrong indentation for "Step", expected indentation level of 2, but got 4
linha 136: Wrong indentation for "Step", expected indentation level of 2, but got 4
linha 137: Wrong indentation for "Step", expected indentation level of 2, but got 4
linha 138: Wrong indentation for "Step", expected indentation level of 2, but got 4
linha 139: Wrong indentation for "Step", expected indentation level of 2, but got 4
linha 140: Wrong indentation for "Step", expected indentation level of 2, but got 4
linha 141: Wrong indentation for "Step", expected indentation level of 2, but got 4
linha 142: Wrong indentation for "Step", expected indentation level of 2, but got 4
linha 143: Wrong indentation for "Step", expected indentation level of 2, but got 4
linha 144: Wrong indentation for "Step", expected indentation level of 2, but got 4
linha 145: Wrong indentation for "Step", expected indentation level of 2, but got 4
linha 146: Wrong indentation for "Step", expected indentation level of 2, but got 4
linha 147: Wrong indentation for "Step", expected indentation level of 2, but got 4
linha 147: Step name is too long. Length of 153 is longer than the maximum allowed: 70
linha 148: Wrong indentation for "Step", expected indentation level of 2, but got 4
linha 148: Step "When I create an account for "Alice Walker"" should not appear after step using keyword then
linha 149: Wrong indentation for "Step", expected indentation level of 2, but got 4
linha 150: Wrong indentation for "Step", expected indentation level of 2, but got 4
linha 150: Step "When I create an account for "Harper Lee"" should not appear after step using keyword then
linha 151: Wrong indentation for "Step", expected indentation level of 2, but got 4
linha 152: Wrong indentation for "Step", expected indentation level of 2, but got 4
linha 153: Wrong indentation for "Step", expected indentation level of 2, but got 4
linha 154: Wrong indentation for "Step", expected indentation level of 2, but got 4
linha 155: Wrong indentation for "Step", expected indentation level of 2, but got 4
linha 156: Wrong indentation for "Step", expected indentation level of 2, but got 4
linha 157: Wrong indentation for "Step", expected indentation level of 2, but got 4
linha 158: Wrong indentation for "Step", expected indentation level of 2, but got 4
linha 158: Step name is too long. Length of 73 is longer than the maximum allowed: 70
linha 159: Wrong indentation for "Step", expected indentation level of 2, but got 4
linha 160: Wrong indentation for "Step", expected indentation level of 2, but got 4
linha 160: Step "When I hit the Next button "1" time" should not appear after step using keyword then
linha 161: Wrong indentation for "Step", expected indentation level of 2, but got 4
linha 162: Wrong indentation for "Step", expected indentation level of 2, but got 4
linha 163: Wrong indentation for "Step", expected indentation level of 2, but got 4
linha 164: Wrong indentation for "Step", expected indentation level of 2, but got 4
linha 166: Multiple empty lines are not allowed
linha 167: Multiple empty lines are not allowed
linha 168: Scenario name is too long. Length of 92 is longer than the maximum allowed: 70
linha 168: Element Scenario too long: actual 41, expected 15
linha 169: Wrong indentation for "Step", expected indentation level of 2, but got 4
linha 170: Wrong indentation for "Step", expected indentation level of 2, but got 4
linha 171: Wrong indentation for "Step", expected indentation level of 2, but got 4
linha 172: Wrong indentation for "Step", expected indentation level of 2, but got 4
linha 172: Step name is too long. Length of 73 is longer than the maximum allowed: 70
linha 173: Wrong indentation for "Step", expected indentation level of 2, but got 4
linha 174: Wrong indentation for "Step", expected indentation level of 2, but got 4
linha 175: Wrong indentation for "Step", expected indentation level of 2, but got 4
linha 176: Wrong indentation for "Step", expected indentation level of 2, but got 4
linha 177: Wrong indentation for "Step", expected indentation level of 2, but got 4
linha 178: Wrong indentation for "Step", expected indentation level of 2, but got 4
linha 179: Wrong indentation for "Step", expected indentation level of 2, but got 4
linha 180: Wrong indentation for "Step", expected indentation level of 2, but got 4
linha 181: Wrong indentation for "Step", expected indentation level of 2, but got 4
linha 182: Wrong indentation for "Step", expected indentation level of 2, but got 4
linha 183: Wrong indentation for "Step", expected indentation level of 2, but got 4
linha 184: Wrong indentation for "Step", expected indentation level of 2, but got 4
linha 185: Wrong indentation for "Step", expected indentation level of 2, but got 4
linha 186: Wrong indentation for "Step", expected indentation level of 2, but got 4
linha 187: Wrong indentation for "Step", expected indentation level of 2, but got 4
linha 188: Wrong indentation for "Step", expected indentation level of 2, but got 4
linha 188: Step "When I select my recent application and submit" should not appear after step using keyword then
linha 189: Wrong indentation for "Step", expected indentation level of 2, but got 4
linha 190: Wrong indentation for "Step", expected indentation level of 2, but got 4
linha 190: Step "When I choose to reconcile my application details by changing them to match my account details" should not appear after step using keyword then
linha 190: Step name is too long. Length of 89 is longer than the maximum allowed: 70
linha 191: Wrong indentation for "Step", expected indentation level of 2, but got 4
linha 192: Wrong indentation for "Step", expected indentation level of 2, but got 4
linha 193: Wrong indentation for "Step", expected indentation level of 2, but got 4
linha 194: Wrong indentation for "Step", expected indentation level of 2, but got 4
linha 194: Step "When I navigate to the "You" section" should not appear after step using keyword then
linha 195: Wrong indentation for "Step", expected indentation level of 2, but got 4
linha 195: Step name is too long. Length of 75 is longer than the maximum allowed: 70
linha 196: Wrong indentation for "Step", expected indentation level of 2, but got 4
linha 196: Step "When I hit the Next button "2" times" should not appear after step using keyword then
linha 197: Wrong indentation for "Step", expected indentation level of 2, but got 4
linha 198: Wrong indentation for "Step", expected indentation level of 2, but got 4
linha 199: Wrong indentation for "Step", expected indentation level of 2, but got 4
linha 200: Wrong indentation for "Step", expected indentation level of 2, but got 4
linha 200: Step "When I opt out of "Assisted Housing" preference" should not appear after step using keyword then
linha 201: Wrong indentation for "Step", expected indentation level of 2, but got 4
linha 202: Wrong indentation for "Step", expected indentation level of 2, but got 4
linha 203: Wrong indentation for "Step", expected indentation level of 2, but got 4
linha 204: Wrong indentation for "Step", expected indentation level of 2, but got 4
linha 205: Wrong indentation for "Step", expected indentation level of 2, but got 4
linha 206: Wrong indentation for "Step", expected indentation level of 2, but got 4
linha 207: Wrong indentation for "Step", expected indentation level of 2, but got 4
linha 208: Wrong indentation for "Step", expected indentation level of 2, but got 4
linha 209: Wrong indentation for "Step", expected indentation level of 2, but got 4
linha 211: Multiple empty lines are not allowed
linha 212: Multiple empty lines are not allowed
linha 213: Scenario name is too long. Length of 73 is longer than the maximum allowed: 70
linha 214: Wrong indentation for "Step", expected indentation level of 2, but got 4
linha 215: Wrong indentation for "Step", expected indentation level of 2, but got 4
linha 216: Wrong indentation for "Step", expected indentation level of 2, but got 4
linha 217: Wrong indentation for "Step", expected indentation level of 2, but got 4
linha 218: Wrong indentation for "Step", expected indentation level of 2, but got 4
linha 218: Step name is too long. Length of 91 is longer than the maximum allowed: 70
linha 219: Wrong indentation for "Step", expected indentation level of 2, but got 4
linha 220: Wrong indentation for "Step", expected indentation level of 2, but got 4
linha 222: Multiple empty lines are not allowed
linha 223: Multiple empty lines are not allowed</t>
  </si>
  <si>
    <t>linha 4: Step name is too long. Length of 72 is longer than the maximum allowed: 70
linha 7: Multiple empty lines are not allowed
linha 8: Multiple empty lines are not allowed
linha 9: Scenario name is too long. Length of 98 is longer than the maximum allowed: 70
linha 9: Element Scenario too long: actual 21, expected 15
linha 12: Step name is too long. Length of 82 is longer than the maximum allowed: 70
linha 13: Step "When I wait "1" seconds" should not appear after step using keyword then
linha 18: Step name is too long. Length of 82 is longer than the maximum allowed: 70
linha 19: Step "When I choose to reconcile my application details by creating a new account" should not appear after step using keyword then
linha 21: Step name is too long. Length of 153 is longer than the maximum allowed: 70
linha 22: Step "When I create an account for "Octavia Butler"" should not appear after step using keyword then
linha 25: Step "When I wait "1" seconds" should not appear after step using keyword then
linha 25: Step "When I wait "1" seconds" should use And instead of When
linha 29: Step name is too long. Length of 77 is longer than the maximum allowed: 70
linha 32: Multiple empty lines are not allowed
linha 33: Multiple empty lines are not allowed
linha 34: Scenario name is too long. Length of 98 is longer than the maximum allowed: 70
linha 40: Step name is too long. Length of 82 is longer than the maximum allowed: 70
linha 41: Step "When I choose to reconcile my application details by continuing without an account" should not appear after step using keyword then
linha 41: Step name is too long. Length of 77 is longer than the maximum allowed: 70
linha 44: Multiple empty lines are not allowed
linha 45: Multiple empty lines are not allowed
linha 50: Step "When I sign in as "Alice Walker" with my email pre-filled" should not appear after step using keyword then
linha 54: Step name is too long. Length of 75 is longer than the maximum allowed: 70
linha 55: Step "When I go to the "My Applications" page" should not appear after step using keyword then
linha 59: Multiple empty lines are not allowed
linha 60: Multiple empty lines are not allowed
linha 66: Step name is too long. Length of 106 is longer than the maximum allowed: 70
linha 67: Step "Then I hit the Next button "1" time" should use And instead of Then
linha 72: Multiple empty lines are not allowed
linha 73: Multiple empty lines are not allowed
linha 74: Scenario name is too long. Length of 75 is longer than the maximum allowed: 70
linha 79: Step "When I choose to continue my saved draft" should not appear after step using keyword then
linha 84: Multiple empty lines are not allowed
linha 85: Multiple empty lines are not allowed
linha 86: Scenario name is too long. Length of 80 is longer than the maximum allowed: 70
linha 92: Step "Then I should be on the "Name" page of the application" should use And instead of Then
linha 93: Step "When I submit the Name page with my account info" should not appear after step using keyword then
linha 97: Multiple empty lines are not allowed
linha 98: Multiple empty lines are not allowed
linha 99: Scenario name is too long. Length of 97 is longer than the maximum allowed: 70
linha 101: Step name is too long. Length of 71 is longer than the maximum allowed: 70
linha 107: Step "When I select my original application and submit" should not appear after step using keyword then
linha 111: Multiple empty lines are not allowed
linha 112: Multiple empty lines are not allowed
linha 113: Scenario name is too long. Length of 94 is longer than the maximum allowed: 70
linha 119: Step "When I sign in as "Alice Walker" with my email pre-filled" should use And instead of When
linha 121: Step name is too long. Length of 77 is longer than the maximum allowed: 70
linha 126: Multiple empty lines are not allowed
linha 127: Multiple empty lines are not allowed
linha 128: Scenario name is too long. Length of 93 is longer than the maximum allowed: 70
linha 128: Element Scenario too long: actual 36, expected 15
linha 147: Step name is too long. Length of 153 is longer than the maximum allowed: 70
linha 148: Step "When I create an account for "Alice Walker"" should not appear after step using keyword then
linha 150: Step "When I create an account for "Harper Lee"" should not appear after step using keyword then
linha 158: Step name is too long. Length of 73 is longer than the maximum allowed: 70
linha 160: Step "When I hit the Next button "1" time" should not appear after step using keyword then
linha 166: Multiple empty lines are not allowed
linha 167: Multiple empty lines are not allowed
linha 168: Scenario name is too long. Length of 92 is longer than the maximum allowed: 70
linha 168: Element Scenario too long: actual 41, expected 15
linha 172: Step name is too long. Length of 73 is longer than the maximum allowed: 70
linha 188: Step "When I select my recent application and submit" should not appear after step using keyword then
linha 190: Step "When I choose to reconcile my application details by changing them to match my account details" should not appear after step using keyword then
linha 190: Step name is too long. Length of 89 is longer than the maximum allowed: 70
linha 194: Step "When I navigate to the "You" section" should not appear after step using keyword then
linha 195: Step name is too long. Length of 75 is longer than the maximum allowed: 70
linha 196: Step "When I hit the Next button "2" times" should not appear after step using keyword then
linha 200: Step "When I opt out of "Assisted Housing" preference" should not appear after step using keyword then
linha 211: Multiple empty lines are not allowed
linha 212: Multiple empty lines are not allowed
linha 213: Scenario name is too long. Length of 73 is longer than the maximum allowed: 70
linha 218: Step name is too long. Length of 91 is longer than the maximum allowed: 70
linha 222: Multiple empty lines are not allowed
linha 223: Multiple empty lines are not allowed</t>
  </si>
  <si>
    <t>linha 4: Step name is too long. Length of 72 is longer than the maximum allowed: 70
linha 9: Scenario name is too long. Length of 98 is longer than the maximum allowed: 70
linha 9: Element Scenario too long: actual 21, expected 15
linha 12: Step name is too long. Length of 82 is longer than the maximum allowed: 70
linha 13: Step "When I wait "1" seconds" should not appear after step using keyword then
linha 18: Step name is too long. Length of 82 is longer than the maximum allowed: 70
linha 19: Step "When I choose to reconcile my application details by creating a new account" should not appear after step using keyword then
linha 21: Step name is too long. Length of 153 is longer than the maximum allowed: 70
linha 22: Step "When I create an account for "Octavia Butler"" should not appear after step using keyword then
linha 25: Step "When I wait "1" seconds" should not appear after step using keyword then
linha 25: Step "When I wait "1" seconds" should use And instead of When
linha 29: Step name is too long. Length of 77 is longer than the maximum allowed: 70
linha 34: Scenario name is too long. Length of 98 is longer than the maximum allowed: 70
linha 40: Step name is too long. Length of 82 is longer than the maximum allowed: 70
linha 41: Step "When I choose to reconcile my application details by continuing without an account" should not appear after step using keyword then
linha 41: Step name is too long. Length of 77 is longer than the maximum allowed: 70
linha 50: Step "When I sign in as "Alice Walker" with my email pre-filled" should not appear after step using keyword then
linha 54: Step name is too long. Length of 75 is longer than the maximum allowed: 70
linha 55: Step "When I go to the "My Applications" page" should not appear after step using keyword then
linha 66: Step name is too long. Length of 106 is longer than the maximum allowed: 70
linha 67: Step "Then I hit the Next button "1" time" should use And instead of Then
linha 74: Scenario name is too long. Length of 75 is longer than the maximum allowed: 70
linha 79: Step "When I choose to continue my saved draft" should not appear after step using keyword then
linha 86: Scenario name is too long. Length of 80 is longer than the maximum allowed: 70
linha 92: Step "Then I should be on the "Name" page of the application" should use And instead of Then
linha 93: Step "When I submit the Name page with my account info" should not appear after step using keyword then
linha 99: Scenario name is too long. Length of 97 is longer than the maximum allowed: 70
linha 101: Step name is too long. Length of 71 is longer than the maximum allowed: 70
linha 107: Step "When I select my original application and submit" should not appear after step using keyword then
linha 113: Scenario name is too long. Length of 94 is longer than the maximum allowed: 70
linha 119: Step "When I sign in as "Alice Walker" with my email pre-filled" should use And instead of When
linha 121: Step name is too long. Length of 77 is longer than the maximum allowed: 70
linha 128: Scenario name is too long. Length of 93 is longer than the maximum allowed: 70
linha 128: Element Scenario too long: actual 36, expected 15
linha 147: Step name is too long. Length of 153 is longer than the maximum allowed: 70
linha 148: Step "When I create an account for "Alice Walker"" should not appear after step using keyword then
linha 150: Step "When I create an account for "Harper Lee"" should not appear after step using keyword then
linha 158: Step name is too long. Length of 73 is longer than the maximum allowed: 70
linha 160: Step "When I hit the Next button "1" time" should not appear after step using keyword then
linha 168: Scenario name is too long. Length of 92 is longer than the maximum allowed: 70
linha 168: Element Scenario too long: actual 41, expected 15
linha 172: Step name is too long. Length of 73 is longer than the maximum allowed: 70
linha 188: Step "When I select my recent application and submit" should not appear after step using keyword then
linha 190: Step "When I choose to reconcile my application details by changing them to match my account details" should not appear after step using keyword then
linha 190: Step name is too long. Length of 89 is longer than the maximum allowed: 70
linha 194: Step "When I navigate to the "You" section" should not appear after step using keyword then
linha 195: Step name is too long. Length of 75 is longer than the maximum allowed: 70
linha 196: Step "When I hit the Next button "2" times" should not appear after step using keyword then
linha 200: Step "When I opt out of "Assisted Housing" preference" should not appear after step using keyword then
linha 213: Scenario name is too long. Length of 73 is longer than the maximum allowed: 70
linha 218: Step name is too long. Length of 91 is longer than the maximum allowed: 70</t>
  </si>
  <si>
    <t>linha 3: Element Scenario too long: actual 16, expected 15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9: Step "When I follow "Edit message"" should not appear after step using keyword then
linha 10: Wrong indentation for "Step", expected indentation level of 2, but got 4
linha 11: Wrong indentation for "Step", expected indentation level of 2, but got 4
linha 11: Step "When I send keys "This is a new line to welcome email" to editor" should not appear after step using keyword then
linha 12: Wrong indentation for "Step", expected indentation level of 2, but got 4
linha 13: Wrong indentation for "Step", expected indentation level of 2, but got 4
linha 14: Wrong indentation for "Step", expected indentation level of 2, but got 4
linha 14: Step "When I refresh the page" should not appear after step using keyword then
linha 15: Wrong indentation for "Step", expected indentation level of 2, but got 4
linha 16: Wrong indentation for "Step", expected indentation level of 2, but got 4
linha 16: Step "When I follow "Send test message"" should not appear after step using keyword then
linha 17: Wrong indentation for "Step", expected indentation level of 2, but got 4
linha 18: Wrong indentation for "Step", expected indentation level of 2, but got 4
linha 19: Wrong indentation for "Step", expected indentation level of 2, but got 4
linha 19: Step "When I open the email" should not appear after step using keyword then
linha 20: Wrong indentation for "Step", expected indentation level of 2, but got 4
linha 22: Multiple empty lines are not allowed
linha 23: Multiple empty lines are not allowed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32: Step name is too long. Length of 83 is longer than the maximum allowed: 70
linha 33: Wrong indentation for "Step", expected indentation level of 2, but got 4
linha 34: Wrong indentation for "Step", expected indentation level of 2, but got 4
linha 34: Step "When I follow "change sender email"" should not appear after step using keyword then
linha 35: Wrong indentation for "Step", expected indentation level of 2, but got 4
linha 36: Wrong indentation for "Step", expected indentation level of 2, but got 4
linha 37: Wrong indentation for "Step", expected indentation level of 2, but got 4
linha 38: Wrong indentation for "Step", expected indentation level of 2, but got 4
linha 38: Step name is too long. Length of 91 is longer than the maximum allowed: 70
linha 40: Multiple empty lines are not allowed
linha 41: Multiple empty lines are not allowed</t>
  </si>
  <si>
    <t>linha 3: Element Scenario too long: actual 16, expected 15
linha 9: Step "When I follow "Edit message"" should not appear after step using keyword then
linha 11: Step "When I send keys "This is a new line to welcome email" to editor" should not appear after step using keyword then
linha 14: Step "When I refresh the page" should not appear after step using keyword then
linha 16: Step "When I follow "Send test message"" should not appear after step using keyword then
linha 19: Step "When I open the email" should not appear after step using keyword then
linha 22: Multiple empty lines are not allowed
linha 23: Multiple empty lines are not allowed
linha 32: Step name is too long. Length of 83 is longer than the maximum allowed: 70
linha 34: Step "When I follow "change sender email"" should not appear after step using keyword then
linha 38: Step name is too long. Length of 91 is longer than the maximum allowed: 70
linha 40: Multiple empty lines are not allowed
linha 41: Multiple empty lines are not allowed</t>
  </si>
  <si>
    <t>linha 3: Element Scenario too long: actual 16, expected 15
linha 9: Step "When I follow "Edit message"" should not appear after step using keyword then
linha 11: Step "When I send keys "This is a new line to welcome email" to editor" should not appear after step using keyword then
linha 14: Step "When I refresh the page" should not appear after step using keyword then
linha 16: Step "When I follow "Send test message"" should not appear after step using keyword then
linha 19: Step "When I open the email" should not appear after step using keyword then
linha 32: Step name is too long. Length of 83 is longer than the maximum allowed: 70
linha 34: Step "When I follow "change sender email"" should not appear after step using keyword then
linha 38: Step name is too long. Length of 91 is longer than the maximum allowed: 70</t>
  </si>
  <si>
    <t>linha 5: Wrong indentation for "Step", expected indentation level of 2, but got 4
linha 6: Wrong indentation for "Step", expected indentation level of 2, but got 4
linha 7: Wrong indentation for "Step", expected indentation level of 2, but got 4
linha 9: Multiple empty lines are not allowed
linha 10: Multiple empty lines are not allowed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16: Step name is too long. Length of 73 is longer than the maximum allowed: 70
linha 18: Multiple empty lines are not allowed
linha 19: Multiple empty lines are not allowed
linha 22: Wrong indentation for "Step", expected indentation level of 2, but got 4
linha 23: Wrong indentation for "Step", expected indentation level of 2, but got 4
linha 24: Wrong indentation for "Step", expected indentation level of 2, but got 4
linha 26: Multiple empty lines are not allowed
linha 27: Multiple empty lines are not allowed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33: Step "When I fill in "q" with "ofa"" should not appear after step using keyword then
linha 34: Wrong indentation for "Step", expected indentation level of 2, but got 4
linha 35: Wrong indentation for "Step", expected indentation level of 2, but got 4
linha 37: Multiple empty lines are not allowed
linha 38: Multiple empty lines are not allowed
linha 41: Wrong indentation for "Step", expected indentation level of 2, but got 4
linha 41: Step name is too long. Length of 74 is longer than the maximum allowed: 70
linha 42: Wrong indentation for "Step", expected indentation level of 2, but got 4
linha 43: Wrong indentation for "Step", expected indentation level of 2, but got 4
linha 44: Wrong indentation for "Step", expected indentation level of 2, but got 4
linha 44: Step "Then I should see "light-weigth plastic outdoor sofa"" should use And instead of Then
linha 45: Wrong indentation for "Step", expected indentation level of 2, but got 4
linha 45: Step "When I set search range for numeric filter "Weight (kg)" between "100" and "200"" should not appear after step using keyword then
linha 45: Step name is too long. Length of 75 is longer than the maximum allowed: 70
linha 46: Wrong indentation for "Step", expected indentation level of 2, but got 4
linha 47: Wrong indentation for "Step", expected indentation level of 2, but got 4
linha 48: Wrong indentation for "Step", expected indentation level of 2, but got 4
linha 48: Step "Then I should not see "light-weigth plastic outdoor sofa"" should use And instead of Then
linha 49: Wrong indentation for "Step", expected indentation level of 2, but got 4
linha 49: Step "When I fill in "q" with "light-weight"" should not appear after step using keyword then
linha 50: Wrong indentation for "Step", expected indentation level of 2, but got 4
linha 51: Wrong indentation for "Step", expected indentation level of 2, but got 4
linha 51: Step name is too long. Length of 73 is longer than the maximum allowed: 70
linha 53: Multiple empty lines are not allowed
linha 54: Multiple empty lines are not allowed
linha 57: Wrong indentation for "Step", expected indentation level of 2, but got 4
linha 58: Wrong indentation for "Step", expected indentation level of 2, but got 4
linha 59: Wrong indentation for "Step", expected indentation level of 2, but got 4
linha 60: Wrong indentation for "Step", expected indentation level of 2, but got 4
linha 60: Step "Then I should not see "light-weigth plastic outdoor sofa"" should use And instead of Then
linha 61: Wrong indentation for "Step", expected indentation level of 2, but got 4
linha 61: Step "When I set price range between "500" and "1000"" should not appear after step using keyword then
linha 62: Wrong indentation for "Step", expected indentation level of 2, but got 4
linha 63: Wrong indentation for "Step", expected indentation level of 2, but got 4
linha 63: Step name is too long. Length of 73 is longer than the maximum allowed: 70
linha 65: Multiple empty lines are not allowed
linha 66: Multiple empty lines are not allowed
linha 69: Wrong indentation for "Step", expected indentation level of 2, but got 4
linha 70: Wrong indentation for "Step", expected indentation level of 2, but got 4
linha 71: Wrong indentation for "Step", expected indentation level of 2, but got 4
linha 72: Wrong indentation for "Step", expected indentation level of 2, but got 4
linha 72: Step "Then I should see "light-weigth plastic outdoor sofa"" should use And instead of Then
linha 73: Wrong indentation for "Step", expected indentation level of 2, but got 4
linha 73: Step "When I check "Outdoors"" should not appear after step using keyword then
linha 74: Wrong indentation for "Step", expected indentation level of 2, but got 4
linha 75: Wrong indentation for "Step", expected indentation level of 2, but got 4
linha 76: Wrong indentation for "Step", expected indentation level of 2, but got 4
linha 76: Step "Then I should see "light-weigth plastic outdoor sofa"" should use And instead of Then
linha 77: Wrong indentation for "Step", expected indentation level of 2, but got 4
linha 77: Step "When I check "Indoors"" should not appear after step using keyword then
linha 78: Wrong indentation for "Step", expected indentation level of 2, but got 4
linha 79: Wrong indentation for "Step", expected indentation level of 2, but got 4
linha 80: Wrong indentation for "Step", expected indentation level of 2, but got 4
linha 80: Step "Then I should not see "light-weigth plastic outdoor sofa"" should use And instead of Then
linha 82: Multiple empty lines are not allowed
linha 83: Multiple empty lines are not allowed</t>
  </si>
  <si>
    <t>linha 9: Multiple empty lines are not allowed
linha 10: Multiple empty lines are not allowed
linha 16: Step name is too long. Length of 73 is longer than the maximum allowed: 70
linha 18: Multiple empty lines are not allowed
linha 19: Multiple empty lines are not allowed
linha 26: Multiple empty lines are not allowed
linha 27: Multiple empty lines are not allowed
linha 33: Step "When I fill in "q" with "ofa"" should not appear after step using keyword then
linha 37: Multiple empty lines are not allowed
linha 38: Multiple empty lines are not allowed
linha 41: Step name is too long. Length of 74 is longer than the maximum allowed: 70
linha 44: Step "Then I should see "light-weigth plastic outdoor sofa"" should use And instead of Then
linha 45: Step "When I set search range for numeric filter "Weight (kg)" between "100" and "200"" should not appear after step using keyword then
linha 45: Step name is too long. Length of 75 is longer than the maximum allowed: 70
linha 48: Step "Then I should not see "light-weigth plastic outdoor sofa"" should use And instead of Then
linha 49: Step "When I fill in "q" with "light-weight"" should not appear after step using keyword then
linha 51: Step name is too long. Length of 73 is longer than the maximum allowed: 70
linha 53: Multiple empty lines are not allowed
linha 54: Multiple empty lines are not allowed
linha 60: Step "Then I should not see "light-weigth plastic outdoor sofa"" should use And instead of Then
linha 61: Step "When I set price range between "500" and "1000"" should not appear after step using keyword then
linha 63: Step name is too long. Length of 73 is longer than the maximum allowed: 70
linha 65: Multiple empty lines are not allowed
linha 66: Multiple empty lines are not allowed
linha 72: Step "Then I should see "light-weigth plastic outdoor sofa"" should use And instead of Then
linha 73: Step "When I check "Outdoors"" should not appear after step using keyword then
linha 76: Step "Then I should see "light-weigth plastic outdoor sofa"" should use And instead of Then
linha 77: Step "When I check "Indoors"" should not appear after step using keyword then
linha 80: Step "Then I should not see "light-weigth plastic outdoor sofa"" should use And instead of Then
linha 82: Multiple empty lines are not allowed
linha 83: Multiple empty lines are not allowed</t>
  </si>
  <si>
    <t>linha 16: Step name is too long. Length of 73 is longer than the maximum allowed: 70
linha 33: Step "When I fill in "q" with "ofa"" should not appear after step using keyword then
linha 41: Step name is too long. Length of 74 is longer than the maximum allowed: 70
linha 44: Step "Then I should see "light-weigth plastic outdoor sofa"" should use And instead of Then
linha 45: Step "When I set search range for numeric filter "Weight (kg)" between "100" and "200"" should not appear after step using keyword then
linha 45: Step name is too long. Length of 75 is longer than the maximum allowed: 70
linha 48: Step "Then I should not see "light-weigth plastic outdoor sofa"" should use And instead of Then
linha 49: Step "When I fill in "q" with "light-weight"" should not appear after step using keyword then
linha 51: Step name is too long. Length of 73 is longer than the maximum allowed: 70
linha 60: Step "Then I should not see "light-weigth plastic outdoor sofa"" should use And instead of Then
linha 61: Step "When I set price range between "500" and "1000"" should not appear after step using keyword then
linha 63: Step name is too long. Length of 73 is longer than the maximum allowed: 70
linha 72: Step "Then I should see "light-weigth plastic outdoor sofa"" should use And instead of Then
linha 73: Step "When I check "Outdoors"" should not appear after step using keyword then
linha 76: Step "Then I should see "light-weigth plastic outdoor sofa"" should use And instead of Then
linha 77: Step "When I check "Indoors"" should not appear after step using keyword then
linha 80: Step "Then I should not see "light-weigth plastic outdoor sofa"" should use And instead of Then</t>
  </si>
  <si>
    <t>linha 4: Wrong indentation for "Step", expected indentation level of 2, but got 4
linha 4: Step name is too long. Length of 125 is longer than the maximum allowed: 70
linha 5: Wrong indentation for "Step", expected indentation level of 2, but got 4
linha 5: Step name is too long. Length of 77 is longer than the maximum allowed: 70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11: Multiple empty lines are not allowed
linha 12: Multiple empty lines are not allowed
linha 14: Wrong indentation for "Step", expected indentation level of 2, but got 4
linha 14: Step name is too long. Length of 125 is longer than the maximum allowed: 70
linha 15: Wrong indentation for "Step", expected indentation level of 2, but got 4
linha 15: Step name is too long. Length of 77 is longer than the maximum allowed: 70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21: Multiple empty lines are not allowed
linha 22: Multiple empty lines are not allowed
linha 23: Scenario name is too long. Length of 81 is longer than the maximum allowed: 70
linha 23: Element Scenario too long: actual 35, expected 15
linha 24: Wrong indentation for "Step", expected indentation level of 2, but got 4
linha 24: Step name is too long. Length of 125 is longer than the maximum allowed: 70
linha 25: Wrong indentation for "Step", expected indentation level of 2, but got 4
linha 26: Wrong indentation for "Step", expected indentation level of 2, but got 4
linha 27: Wrong indentation for "Step", expected indentation level of 2, but got 4
linha 27: Step "Given there is a message "Reply to massage" from "kassi_testperson2" about that listing" should not appear after step using keyword then
linha 27: Step name is too long. Length of 81 is longer than the maximum allowed: 70
linha 28: Wrong indentation for "Step", expected indentation level of 2, but got 4
linha 28: Step "When I refresh the page" should not appear after step using keyword then
linha 29: Wrong indentation for "Step", expected indentation level of 2, but got 4
linha 30: Wrong indentation for "Step", expected indentation level of 2, but got 4
linha 30: Step "Given there is a message "Another test" from "kassi_testperson3" about that listing" should not appear after step using keyword then
linha 30: Step name is too long. Length of 77 is longer than the maximum allowed: 70
linha 31: Wrong indentation for "Step", expected indentation level of 2, but got 4
linha 31: Step "When I refresh the page" should not appear after step using keyword then
linha 32: Wrong indentation for "Step", expected indentation level of 2, but got 4
linha 33: Wrong indentation for "Step", expected indentation level of 2, but got 4
linha 33: Step "Given there is a reply "great" to that message by "kassi_testperson1"" should not appear after step using keyword then
linha 34: Wrong indentation for "Step", expected indentation level of 2, but got 4
linha 34: Step "When I refresh the page" should not appear after step using keyword then
linha 35: Wrong indentation for "Step", expected indentation level of 2, but got 4
linha 36: Wrong indentation for "Step", expected indentation level of 2, but got 4
linha 36: Step "Given there is a listing with title "Apartment" from "kassi_testperson2" with category "Spaces" and with listing shape "Selling"" should not appear after step using keyword then
linha 36: Step name is too long. Length of 122 is longer than the maximum allowed: 70
linha 37: Wrong indentation for "Step", expected indentation level of 2, but got 4
linha 38: Wrong indentation for "Step", expected indentation level of 2, but got 4
linha 38: Step name is too long. Length of 118 is longer than the maximum allowed: 70
linha 39: Wrong indentation for "Step", expected indentation level of 2, but got 4
linha 40: Wrong indentation for "Step", expected indentation level of 2, but got 4
linha 40: Step name is too long. Length of 140 is longer than the maximum allowed: 70
linha 41: Wrong indentation for "Step", expected indentation level of 2, but got 4
linha 42: Wrong indentation for "Step", expected indentation level of 2, but got 4
linha 42: Step "When I refresh the page" should not appear after step using keyword then
linha 43: Wrong indentation for "Step", expected indentation level of 2, but got 4
linha 44: Wrong indentation for "Step", expected indentation level of 2, but got 4
linha 45: Wrong indentation for "Step", expected indentation level of 2, but got 4
linha 45: Step "When I refresh the page" should not appear after step using keyword then
linha 46: Wrong indentation for "Step", expected indentation level of 2, but got 4
linha 47: Wrong indentation for "Step", expected indentation level of 2, but got 4
linha 47: Step "When I follow inbox link" should not appear after step using keyword then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53: Wrong indentation for "Step", expected indentation level of 2, but got 4
linha 54: Wrong indentation for "Step", expected indentation level of 2, but got 4
linha 55: Wrong indentation for "Step", expected indentation level of 2, but got 4
linha 56: Wrong indentation for "Step", expected indentation level of 2, but got 4
linha 57: Wrong indentation for "Step", expected indentation level of 2, but got 4
linha 58: Wrong indentation for "Step", expected indentation level of 2, but got 4
linha 60: Multiple empty lines are not allowed
linha 61: Multiple empty lines are not allowed
linha 62: Scenario name is too long. Length of 77 is longer than the maximum allowed: 70
linha 62: Element Scenario too long: actual 20, expected 15
linha 63: Wrong indentation for "Step", expected indentation level of 2, but got 4
linha 63: Step name is too long. Length of 125 is longer than the maximum allowed: 70
linha 64: Wrong indentation for "Step", expected indentation level of 2, but got 4
linha 64: Step name is too long. Length of 81 is longer than the maximum allowed: 70
linha 65: Wrong indentation for "Step", expected indentation level of 2, but got 4
linha 65: Step name is too long. Length of 77 is longer than the maximum allowed: 70
linha 66: Wrong indentation for "Step", expected indentation level of 2, but got 4
linha 67: Wrong indentation for "Step", expected indentation level of 2, but got 4
linha 67: Step name is too long. Length of 122 is longer than the maximum allowed: 70
linha 68: Wrong indentation for "Step", expected indentation level of 2, but got 4
linha 69: Wrong indentation for "Step", expected indentation level of 2, but got 4
linha 69: Step name is too long. Length of 118 is longer than the maximum allowed: 70
linha 70: Wrong indentation for "Step", expected indentation level of 2, but got 4
linha 71: Wrong indentation for "Step", expected indentation level of 2, but got 4
linha 71: Step name is too long. Length of 140 is longer than the maximum allowed: 70
linha 72: Wrong indentation for "Step", expected indentation level of 2, but got 4
linha 73: Wrong indentation for "Step", expected indentation level of 2, but got 4
linha 74: Wrong indentation for "Step", expected indentation level of 2, but got 4
linha 75: Wrong indentation for "Step", expected indentation level of 2, but got 4
linha 76: Wrong indentation for "Step", expected indentation level of 2, but got 4
linha 77: Wrong indentation for "Step", expected indentation level of 2, but got 4
linha 78: Wrong indentation for "Step", expected indentation level of 2, but got 4
linha 79: Wrong indentation for "Step", expected indentation level of 2, but got 4
linha 80: Wrong indentation for "Step", expected indentation level of 2, but got 4
linha 81: Wrong indentation for "Step", expected indentation level of 2, but got 4
linha 82: Wrong indentation for "Step", expected indentation level of 2, but got 4
linha 84: Multiple empty lines are not allowed
linha 85: Multiple empty lines are not allowed
linha 87: Wrong indentation for "Step", expected indentation level of 2, but got 4
linha 88: Wrong indentation for "Step", expected indentation level of 2, but got 4
linha 89: Wrong indentation for "Step", expected indentation level of 2, but got 4
linha 89: Step name is too long. Length of 94 is longer than the maximum allowed: 70
linha 90: Wrong indentation for "Step", expected indentation level of 2, but got 4
linha 92: Multiple empty lines are not allowed
linha 93: Multiple empty lines are not allowed</t>
  </si>
  <si>
    <t>linha 4: Step name is too long. Length of 125 is longer than the maximum allowed: 70
linha 5: Step name is too long. Length of 77 is longer than the maximum allowed: 70
linha 11: Multiple empty lines are not allowed
linha 12: Multiple empty lines are not allowed
linha 14: Step name is too long. Length of 125 is longer than the maximum allowed: 70
linha 15: Step name is too long. Length of 77 is longer than the maximum allowed: 70
linha 21: Multiple empty lines are not allowed
linha 22: Multiple empty lines are not allowed
linha 23: Scenario name is too long. Length of 81 is longer than the maximum allowed: 70
linha 23: Element Scenario too long: actual 35, expected 15
linha 24: Step name is too long. Length of 125 is longer than the maximum allowed: 70
linha 27: Step "Given there is a message "Reply to massage" from "kassi_testperson2" about that listing" should not appear after step using keyword then
linha 27: Step name is too long. Length of 81 is longer than the maximum allowed: 70
linha 28: Step "When I refresh the page" should not appear after step using keyword then
linha 30: Step "Given there is a message "Another test" from "kassi_testperson3" about that listing" should not appear after step using keyword then
linha 30: Step name is too long. Length of 77 is longer than the maximum allowed: 70
linha 31: Step "When I refresh the page" should not appear after step using keyword then
linha 33: Step "Given there is a reply "great" to that message by "kassi_testperson1"" should not appear after step using keyword then
linha 34: Step "When I refresh the page" should not appear after step using keyword then
linha 36: Step "Given there is a listing with title "Apartment" from "kassi_testperson2" with category "Spaces" and with listing shape "Selling"" should not appear after step using keyword then
linha 36: Step name is too long. Length of 122 is longer than the maximum allowed: 70
linha 38: Step name is too long. Length of 118 is longer than the maximum allowed: 70
linha 40: Step name is too long. Length of 140 is longer than the maximum allowed: 70
linha 42: Step "When I refresh the page" should not appear after step using keyword then
linha 45: Step "When I refresh the page" should not appear after step using keyword then
linha 47: Step "When I follow inbox link" should not appear after step using keyword then
linha 60: Multiple empty lines are not allowed
linha 61: Multiple empty lines are not allowed
linha 62: Scenario name is too long. Length of 77 is longer than the maximum allowed: 70
linha 62: Element Scenario too long: actual 20, expected 15
linha 63: Step name is too long. Length of 125 is longer than the maximum allowed: 70
linha 64: Step name is too long. Length of 81 is longer than the maximum allowed: 70
linha 65: Step name is too long. Length of 77 is longer than the maximum allowed: 70
linha 67: Step name is too long. Length of 122 is longer than the maximum allowed: 70
linha 69: Step name is too long. Length of 118 is longer than the maximum allowed: 70
linha 71: Step name is too long. Length of 140 is longer than the maximum allowed: 70
linha 84: Multiple empty lines are not allowed
linha 85: Multiple empty lines are not allowed
linha 89: Step name is too long. Length of 94 is longer than the maximum allowed: 70
linha 92: Multiple empty lines are not allowed
linha 93: Multiple empty lines are not allowed</t>
  </si>
  <si>
    <t>linha 4: Step name is too long. Length of 125 is longer than the maximum allowed: 70
linha 5: Step name is too long. Length of 77 is longer than the maximum allowed: 70
linha 14: Step name is too long. Length of 125 is longer than the maximum allowed: 70
linha 15: Step name is too long. Length of 77 is longer than the maximum allowed: 70
linha 23: Scenario name is too long. Length of 81 is longer than the maximum allowed: 70
linha 23: Element Scenario too long: actual 35, expected 15
linha 24: Step name is too long. Length of 125 is longer than the maximum allowed: 70
linha 27: Step "Given there is a message "Reply to massage" from "kassi_testperson2" about that listing" should not appear after step using keyword then
linha 27: Step name is too long. Length of 81 is longer than the maximum allowed: 70
linha 28: Step "When I refresh the page" should not appear after step using keyword then
linha 30: Step "Given there is a message "Another test" from "kassi_testperson3" about that listing" should not appear after step using keyword then
linha 30: Step name is too long. Length of 77 is longer than the maximum allowed: 70
linha 31: Step "When I refresh the page" should not appear after step using keyword then
linha 33: Step "Given there is a reply "great" to that message by "kassi_testperson1"" should not appear after step using keyword then
linha 34: Step "When I refresh the page" should not appear after step using keyword then
linha 36: Step "Given there is a listing with title "Apartment" from "kassi_testperson2" with category "Spaces" and with listing shape "Selling"" should not appear after step using keyword then
linha 36: Step name is too long. Length of 122 is longer than the maximum allowed: 70
linha 38: Step name is too long. Length of 118 is longer than the maximum allowed: 70
linha 40: Step name is too long. Length of 140 is longer than the maximum allowed: 70
linha 42: Step "When I refresh the page" should not appear after step using keyword then
linha 45: Step "When I refresh the page" should not appear after step using keyword then
linha 47: Step "When I follow inbox link" should not appear after step using keyword then
linha 62: Scenario name is too long. Length of 77 is longer than the maximum allowed: 70
linha 62: Element Scenario too long: actual 20, expected 15
linha 63: Step name is too long. Length of 125 is longer than the maximum allowed: 70
linha 64: Step name is too long. Length of 81 is longer than the maximum allowed: 70
linha 65: Step name is too long. Length of 77 is longer than the maximum allowed: 70
linha 67: Step name is too long. Length of 122 is longer than the maximum allowed: 70
linha 69: Step name is too long. Length of 118 is longer than the maximum allowed: 70
linha 71: Step name is too long. Length of 140 is longer than the maximum allowed: 70
linha 89: Step name is too long. Length of 94 is longer than the maximum allowed: 70</t>
  </si>
  <si>
    <t>linha 1: Feature name is too long. Length of 55 is longer than the maximum allowed: 50
linha 3: Element Scenario too long: actual 50, expected 15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11: Wrong indentation for "Step", expected indentation level of 2, but got 4
linha 11: Step "When I check "house"" should not appear after step using keyword then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17: Step "When I uncheck "condo"" should not appear after step using keyword then
linha 18: Wrong indentation for "Step", expected indentation level of 2, but got 4
linha 19: Wrong indentation for "Step", expected indentation level of 2, but got 4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25: Step "Then I should not see "Apartment"" should use And instead of Then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29: Step "When I uncheck "house"" should not appear after step using keyword then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35: Step "When I check "glazed"" should not appear after step using keyword then
linha 36: Wrong indentation for "Step", expected indentation level of 2, but got 4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41: Wrong indentation for "Step", expected indentation level of 2, but got 4
linha 41: Step "When I check "house"" should not appear after step using keyword then
linha 42: Wrong indentation for "Step", expected indentation level of 2, but got 4
linha 43: Wrong indentation for "Step", expected indentation level of 2, but got 4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47: Step "When I uncheck "house"" should not appear after step using keyword then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53: Wrong indentation for "Step", expected indentation level of 2, but got 4
linha 54: Wrong indentation for "Step", expected indentation level of 2, but got 4
linha 56: Multiple empty lines are not allowed
linha 57: Multiple empty lines are not allowed
linha 58: Element Scenario too long: actual 38, expected 15
linha 60: Wrong indentation for "Step", expected indentation level of 2, but got 4
linha 60: Step name is too long. Length of 147 is longer than the maximum allowed: 70
linha 61: Wrong indentation for "Step", expected indentation level of 2, but got 4
linha 62: Wrong indentation for "Step", expected indentation level of 2, but got 4
linha 63: Wrong indentation for "Step", expected indentation level of 2, but got 4
linha 64: Wrong indentation for "Step", expected indentation level of 2, but got 4
linha 65: Wrong indentation for "Step", expected indentation level of 2, but got 4
linha 66: Wrong indentation for "Step", expected indentation level of 2, but got 4
linha 67: Wrong indentation for "Step", expected indentation level of 2, but got 4
linha 67: Step "When I follow "Spaces"" should not appear after step using keyword then
linha 68: Wrong indentation for "Step", expected indentation level of 2, but got 4
linha 69: Wrong indentation for "Step", expected indentation level of 2, but got 4
linha 70: Wrong indentation for "Step", expected indentation level of 2, but got 4
linha 71: Wrong indentation for "Step", expected indentation level of 2, but got 4
linha 71: Step "When I fill in "q" with "house"" should not appear after step using keyword then
linha 72: Wrong indentation for "Step", expected indentation level of 2, but got 4
linha 73: Wrong indentation for "Step", expected indentation level of 2, but got 4
linha 74: Wrong indentation for "Step", expected indentation level of 2, but got 4
linha 75: Wrong indentation for "Step", expected indentation level of 2, but got 4
linha 76: Wrong indentation for "Step", expected indentation level of 2, but got 4
linha 76: Step "When I follow "All categories"" should not appear after step using keyword then
linha 77: Wrong indentation for "Step", expected indentation level of 2, but got 4
linha 78: Wrong indentation for "Step", expected indentation level of 2, but got 4
linha 79: Wrong indentation for "Step", expected indentation level of 2, but got 4
linha 80: Wrong indentation for "Step", expected indentation level of 2, but got 4
linha 80: Step "When I check "open"" should not appear after step using keyword then
linha 81: Wrong indentation for "Step", expected indentation level of 2, but got 4
linha 82: Wrong indentation for "Step", expected indentation level of 2, but got 4
linha 83: Wrong indentation for "Step", expected indentation level of 2, but got 4
linha 84: Wrong indentation for "Step", expected indentation level of 2, but got 4
linha 85: Wrong indentation for "Step", expected indentation level of 2, but got 4
linha 85: Step "When I fill in "q" with """ should not appear after step using keyword then
linha 86: Wrong indentation for "Step", expected indentation level of 2, but got 4
linha 87: Wrong indentation for "Step", expected indentation level of 2, but got 4
linha 88: Wrong indentation for "Step", expected indentation level of 2, but got 4
linha 89: Wrong indentation for "Step", expected indentation level of 2, but got 4
linha 90: Wrong indentation for "Step", expected indentation level of 2, but got 4
linha 91: Wrong indentation for "Step", expected indentation level of 2, but got 4
linha 91: Step "When I uncheck "open"" should not appear after step using keyword then
linha 92: Wrong indentation for "Step", expected indentation level of 2, but got 4
linha 93: Wrong indentation for "Step", expected indentation level of 2, but got 4
linha 94: Wrong indentation for "Step", expected indentation level of 2, but got 4
linha 95: Wrong indentation for "Step", expected indentation level of 2, but got 4
linha 96: Wrong indentation for "Step", expected indentation level of 2, but got 4
linha 97: Wrong indentation for "Step", expected indentation level of 2, but got 4
linha 99: Multiple empty lines are not allowed
linha 100: Multiple empty lines are not allowed</t>
  </si>
  <si>
    <t>linha 1: Feature name is too long. Length of 55 is longer than the maximum allowed: 50
linha 3: Element Scenario too long: actual 50, expected 15
linha 11: Step "When I check "house"" should not appear after step using keyword then
linha 17: Step "When I uncheck "condo"" should not appear after step using keyword then
linha 25: Step "Then I should not see "Apartment"" should use And instead of Then
linha 29: Step "When I uncheck "house"" should not appear after step using keyword then
linha 35: Step "When I check "glazed"" should not appear after step using keyword then
linha 41: Step "When I check "house"" should not appear after step using keyword then
linha 47: Step "When I uncheck "house"" should not appear after step using keyword then
linha 56: Multiple empty lines are not allowed
linha 57: Multiple empty lines are not allowed
linha 58: Element Scenario too long: actual 38, expected 15
linha 60: Step name is too long. Length of 147 is longer than the maximum allowed: 70
linha 67: Step "When I follow "Spaces"" should not appear after step using keyword then
linha 71: Step "When I fill in "q" with "house"" should not appear after step using keyword then
linha 76: Step "When I follow "All categories"" should not appear after step using keyword then
linha 80: Step "When I check "open"" should not appear after step using keyword then
linha 85: Step "When I fill in "q" with """ should not appear after step using keyword then
linha 91: Step "When I uncheck "open"" should not appear after step using keyword then
linha 99: Multiple empty lines are not allowed
linha 100: Multiple empty lines are not allowed</t>
  </si>
  <si>
    <t>linha 1: Feature name is too long. Length of 55 is longer than the maximum allowed: 50
linha 3: Element Scenario too long: actual 50, expected 15
linha 11: Step "When I check "house"" should not appear after step using keyword then
linha 17: Step "When I uncheck "condo"" should not appear after step using keyword then
linha 25: Step "Then I should not see "Apartment"" should use And instead of Then
linha 29: Step "When I uncheck "house"" should not appear after step using keyword then
linha 35: Step "When I check "glazed"" should not appear after step using keyword then
linha 41: Step "When I check "house"" should not appear after step using keyword then
linha 47: Step "When I uncheck "house"" should not appear after step using keyword then
linha 58: Element Scenario too long: actual 38, expected 15
linha 60: Step name is too long. Length of 147 is longer than the maximum allowed: 70
linha 67: Step "When I follow "Spaces"" should not appear after step using keyword then
linha 71: Step "When I fill in "q" with "house"" should not appear after step using keyword then
linha 76: Step "When I follow "All categories"" should not appear after step using keyword then
linha 80: Step "When I check "open"" should not appear after step using keyword then
linha 85: Step "When I fill in "q" with """ should not appear after step using keyword then
linha 91: Step "When I uncheck "open"" should not appear after step using keyword then</t>
  </si>
  <si>
    <t>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8: Step name is too long. Length of 102 is longer than the maximum allowed: 70
linha 9: Wrong indentation for "Step", expected indentation level of 2, but got 4
linha 10: Wrong indentation for "Step", expected indentation level of 2, but got 4
linha 11: Wrong indentation for "Step", expected indentation level of 2, but got 4
linha 13: Multiple empty lines are not allowed
linha 14: Multiple empty lines are not allowed
linha 15: Scenario name is too long. Length of 113 is longer than the maximum allowed: 70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20: Step name is too long. Length of 114 is longer than the maximum allowed: 70
linha 21: Wrong indentation for "Step", expected indentation level of 2, but got 4
linha 21: Step name is too long. Length of 103 is longer than the maximum allowed: 70
linha 22: Wrong indentation for "Step", expected indentation level of 2, but got 4
linha 23: Wrong indentation for "Step", expected indentation level of 2, but got 4
linha 24: Wrong indentation for "Step", expected indentation level of 2, but got 4
linha 26: Multiple empty lines are not allowed
linha 27: Multiple empty lines are not allowed
linha 28: Scenario name is too long. Length of 110 is longer than the maximum allowed: 70
linha 30: Wrong indentation for "Step", expected indentation level of 2, but got 4
linha 31: Wrong indentation for "Step", expected indentation level of 2, but got 4
linha 32: Wrong indentation for "Step", expected indentation level of 2, but got 4
linha 33: Wrong indentation for "Step", expected indentation level of 2, but got 4
linha 33: Step name is too long. Length of 102 is longer than the maximum allowed: 70
linha 34: Wrong indentation for "Step", expected indentation level of 2, but got 4
linha 35: Wrong indentation for "Step", expected indentation level of 2, but got 4
linha 35: Step name is too long. Length of 103 is longer than the maximum allowed: 70
linha 36: Wrong indentation for "Step", expected indentation level of 2, but got 4
linha 37: Wrong indentation for "Step", expected indentation level of 2, but got 4
linha 38: Wrong indentation for "Step", expected indentation level of 2, but got 4
linha 40: Multiple empty lines are not allowed
linha 41: Multiple empty lines are not allowed
linha 42: Scenario name is too long. Length of 95 is longer than the maximum allowed: 70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47: Step name is too long. Length of 114 is longer than the maximum allowed: 70
linha 48: Wrong indentation for "Step", expected indentation level of 2, but got 4
linha 49: Wrong indentation for "Step", expected indentation level of 2, but got 4
linha 50: Wrong indentation for "Step", expected indentation level of 2, but got 4
linha 50: Step name is too long. Length of 74 is longer than the maximum allowed: 70
linha 51: Wrong indentation for "Step", expected indentation level of 2, but got 4
linha 53: Multiple empty lines are not allowed
linha 54: Multiple empty lines are not allowed</t>
  </si>
  <si>
    <t>linha 8: Step name is too long. Length of 102 is longer than the maximum allowed: 70
linha 13: Multiple empty lines are not allowed
linha 14: Multiple empty lines are not allowed
linha 15: Scenario name is too long. Length of 113 is longer than the maximum allowed: 70
linha 20: Step name is too long. Length of 114 is longer than the maximum allowed: 70
linha 21: Step name is too long. Length of 103 is longer than the maximum allowed: 70
linha 26: Multiple empty lines are not allowed
linha 27: Multiple empty lines are not allowed
linha 28: Scenario name is too long. Length of 110 is longer than the maximum allowed: 70
linha 33: Step name is too long. Length of 102 is longer than the maximum allowed: 70
linha 35: Step name is too long. Length of 103 is longer than the maximum allowed: 70
linha 40: Multiple empty lines are not allowed
linha 41: Multiple empty lines are not allowed
linha 42: Scenario name is too long. Length of 95 is longer than the maximum allowed: 70
linha 47: Step name is too long. Length of 114 is longer than the maximum allowed: 70
linha 50: Step name is too long. Length of 74 is longer than the maximum allowed: 70
linha 53: Multiple empty lines are not allowed
linha 54: Multiple empty lines are not allowed</t>
  </si>
  <si>
    <t>linha 8: Step name is too long. Length of 102 is longer than the maximum allowed: 70
linha 15: Scenario name is too long. Length of 113 is longer than the maximum allowed: 70
linha 20: Step name is too long. Length of 114 is longer than the maximum allowed: 70
linha 21: Step name is too long. Length of 103 is longer than the maximum allowed: 70
linha 28: Scenario name is too long. Length of 110 is longer than the maximum allowed: 70
linha 33: Step name is too long. Length of 102 is longer than the maximum allowed: 70
linha 35: Step name is too long. Length of 103 is longer than the maximum allowed: 70
linha 42: Scenario name is too long. Length of 95 is longer than the maximum allowed: 70
linha 47: Step name is too long. Length of 114 is longer than the maximum allowed: 70
linha 50: Step name is too long. Length of 74 is longer than the maximum allowed: 70</t>
  </si>
  <si>
    <t>linha 1: Feature name is too long. Length of 64 is longer than the maximum allowed: 50
linha 5: Wrong indentation for "Step", expected indentation level of 2, but got 4
linha 6: Wrong indentation for "Step", expected indentation level of 2, but got 4
linha 7: Wrong indentation for "Step", expected indentation level of 2, but got 4
linha 7: Step "When I go back to store" should use And instead of When
linha 8: Wrong indentation for "Step", expected indentation level of 2, but got 4
linha 10: Multiple empty lines are not allowed
linha 11: Multiple empty lines are not allowed</t>
  </si>
  <si>
    <t>linha 1: Feature name is too long. Length of 64 is longer than the maximum allowed: 50
linha 7: Step "When I go back to store" should use And instead of When
linha 10: Multiple empty lines are not allowed
linha 11: Multiple empty lines are not allowed</t>
  </si>
  <si>
    <t>linha 1: Feature name is too long. Length of 64 is longer than the maximum allowed: 50
linha 7: Step "When I go back to store" should use And instead of When</t>
  </si>
  <si>
    <t>linha 1: Feature name is too long. Length of 81 is longer than the maximum allowed: 50
linha 3: Scenario name is too long. Length of 80 is longer than the maximum allowed: 70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9: Wrong indentation for "Step", expected indentation level of 2, but got 4
linha 10: Wrong indentation for "Step", expected indentation level of 2, but got 4
linha 12: Multiple empty lines are not allowed
linha 13: Multiple empty lines are not allowed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22: Multiple empty lines are not allowed
linha 23: Multiple empty lines are not allowed
linha 24: Scenario name is too long. Length of 79 is longer than the maximum allowed: 70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32: Multiple empty lines are not allowed
linha 33: Multiple empty lines are not allowed
linha 34: Scenario name is too long. Length of 85 is longer than the maximum allowed: 70
linha 36: Wrong indentation for "Step", expected indentation level of 2, but got 4
linha 36: Step name is too long. Length of 79 is longer than the maximum allowed: 70
linha 37: Wrong indentation for "Step", expected indentation level of 2, but got 4
linha 37: Step name is too long. Length of 81 is longer than the maximum allowed: 70
linha 38: Wrong indentation for "Step", expected indentation level of 2, but got 4
linha 38: Step name is too long. Length of 73 is longer than the maximum allowed: 70
linha 39: Wrong indentation for "Step", expected indentation level of 2, but got 4
linha 39: Step name is too long. Length of 73 is longer than the maximum allowed: 70
linha 40: Wrong indentation for "Step", expected indentation level of 2, but got 4
linha 41: Wrong indentation for "Step", expected indentation level of 2, but got 4
linha 42: Wrong indentation for "Step", expected indentation level of 2, but got 4
linha 44: Multiple empty lines are not allowed
linha 45: Multiple empty lines are not allowed
linha 46: Scenario name is too long. Length of 78 is longer than the maximum allowed: 70
linha 48: Wrong indentation for "Step", expected indentation level of 2, but got 4
linha 48: Step name is too long. Length of 79 is longer than the maximum allowed: 70
linha 49: Wrong indentation for "Step", expected indentation level of 2, but got 4
linha 49: Step name is too long. Length of 79 is longer than the maximum allowed: 70
linha 50: Wrong indentation for "Step", expected indentation level of 2, but got 4
linha 50: Step name is too long. Length of 73 is longer than the maximum allowed: 70
linha 51: Wrong indentation for "Step", expected indentation level of 2, but got 4
linha 51: Step name is too long. Length of 73 is longer than the maximum allowed: 70
linha 52: Wrong indentation for "Step", expected indentation level of 2, but got 4
linha 53: Wrong indentation for "Step", expected indentation level of 2, but got 4
linha 54: Wrong indentation for "Step", expected indentation level of 2, but got 4
linha 55: Wrong indentation for "Step", expected indentation level of 2, but got 4
linha 57: Multiple empty lines are not allowed
linha 58: Multiple empty lines are not allowed</t>
  </si>
  <si>
    <t>linha 1: Feature name is too long. Length of 81 is longer than the maximum allowed: 50
linha 3: Scenario name is too long. Length of 80 is longer than the maximum allowed: 70
linha 12: Multiple empty lines are not allowed
linha 13: Multiple empty lines are not allowed
linha 22: Multiple empty lines are not allowed
linha 23: Multiple empty lines are not allowed
linha 24: Scenario name is too long. Length of 79 is longer than the maximum allowed: 70
linha 32: Multiple empty lines are not allowed
linha 33: Multiple empty lines are not allowed
linha 34: Scenario name is too long. Length of 85 is longer than the maximum allowed: 70
linha 36: Step name is too long. Length of 79 is longer than the maximum allowed: 70
linha 37: Step name is too long. Length of 81 is longer than the maximum allowed: 70
linha 38: Step name is too long. Length of 73 is longer than the maximum allowed: 70
linha 39: Step name is too long. Length of 73 is longer than the maximum allowed: 70
linha 44: Multiple empty lines are not allowed
linha 45: Multiple empty lines are not allowed
linha 46: Scenario name is too long. Length of 78 is longer than the maximum allowed: 70
linha 48: Step name is too long. Length of 79 is longer than the maximum allowed: 70
linha 49: Step name is too long. Length of 79 is longer than the maximum allowed: 70
linha 50: Step name is too long. Length of 73 is longer than the maximum allowed: 70
linha 51: Step name is too long. Length of 73 is longer than the maximum allowed: 70
linha 57: Multiple empty lines are not allowed
linha 58: Multiple empty lines are not allowed</t>
  </si>
  <si>
    <t>linha 1: Feature name is too long. Length of 81 is longer than the maximum allowed: 50
linha 3: Scenario name is too long. Length of 80 is longer than the maximum allowed: 70
linha 24: Scenario name is too long. Length of 79 is longer than the maximum allowed: 70
linha 34: Scenario name is too long. Length of 85 is longer than the maximum allowed: 70
linha 36: Step name is too long. Length of 79 is longer than the maximum allowed: 70
linha 37: Step name is too long. Length of 81 is longer than the maximum allowed: 70
linha 38: Step name is too long. Length of 73 is longer than the maximum allowed: 70
linha 39: Step name is too long. Length of 73 is longer than the maximum allowed: 70
linha 46: Scenario name is too long. Length of 78 is longer than the maximum allowed: 70
linha 48: Step name is too long. Length of 79 is longer than the maximum allowed: 70
linha 49: Step name is too long. Length of 79 is longer than the maximum allowed: 70
linha 50: Step name is too long. Length of 73 is longer than the maximum allowed: 70
linha 51: Step name is too long. Length of 73 is longer than the maximum allowed: 70</t>
  </si>
  <si>
    <t>linha 1: Feature name is too long. Length of 52 is longer than the maximum allowed: 50
linha 5: Wrong indentation for "Step", expected indentation level of 2, but got 4
linha 6: Wrong indentation for "Step", expected indentation level of 2, but got 4
linha 7: Wrong indentation for "Step", expected indentation level of 2, but got 4
linha 8: Wrong indentation for "Step", expected indentation level of 2, but got 4
linha 8: Step name is too long. Length of 71 is longer than the maximum allowed: 70
linha 10: Multiple empty lines are not allowed
linha 11: Multiple empty lines are not allowed
linha 14: Wrong indentation for "Step", expected indentation level of 2, but got 4
linha 15: Wrong indentation for "Step", expected indentation level of 2, but got 4
linha 16: Wrong indentation for "Step", expected indentation level of 2, but got 4
linha 18: Multiple empty lines are not allowed
linha 19: Multiple empty lines are not allowed
linha 22: Wrong indentation for "Step", expected indentation level of 2, but got 4
linha 23: Wrong indentation for "Step", expected indentation level of 2, but got 4
linha 24: Wrong indentation for "Step", expected indentation level of 2, but got 4
linha 26: Multiple empty lines are not allowed
linha 27: Multiple empty lines are not allowed</t>
  </si>
  <si>
    <t>linha 1: Feature name is too long. Length of 52 is longer than the maximum allowed: 50
linha 8: Step name is too long. Length of 71 is longer than the maximum allowed: 70
linha 10: Multiple empty lines are not allowed
linha 11: Multiple empty lines are not allowed
linha 18: Multiple empty lines are not allowed
linha 19: Multiple empty lines are not allowed
linha 26: Multiple empty lines are not allowed
linha 27: Multiple empty lines are not allowed</t>
  </si>
  <si>
    <t>linha 1: Feature name is too long. Length of 52 is longer than the maximum allowed: 50
linha 8: Step name is too long. Length of 71 is longer than the maximum allowed: 70</t>
  </si>
  <si>
    <t>linha 4: Wrong indentation for "Step", expected indentation level of 2, but got 4
linha 6: Multiple empty lines are not allowed
linha 7: Multiple empty lines are not allowed
linha 9: Wrong indentation for "Step", expected indentation level of 2, but got 4
linha 10: Wrong indentation for "Step", expected indentation level of 2, but got 4
linha 11: Wrong indentation for "Step", expected indentation level of 2, but got 4
linha 11: Step "When I enter the hostname of "sle_minion" as "hostname"" should not appear after step using keyword then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16: Wrong indentation for "Step", expected indentation level of 2, but got 4
linha 17: Wrong indentation for "Step", expected indentation level of 2, but got 4
linha 18: Wrong indentation for "Step", expected indentation level of 2, but got 4
linha 20: Multiple empty lines are not allowed
linha 21: Multiple empty lines are not allowed
linha 23: Wrong indentation for "Step", expected indentation level of 2, but got 4
linha 24: Wrong indentation for "Step", expected indentation level of 2, but got 4
linha 25: Wrong indentation for "Step", expected indentation level of 2, but got 4
linha 25: Step "When I enter "not-existing-name" as "hostname"" should not appear after step using keyword then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30: Step name is too long. Length of 106 is longer than the maximum allowed: 70
linha 31: Wrong indentation for "Step", expected indentation level of 2, but got 4
linha 32: Wrong indentation for "Step", expected indentation level of 2, but got 4
linha 32: Step "When I click on "Details"" should not appear after step using keyword then
linha 33: Wrong indentation for "Step", expected indentation level of 2, but got 4
linha 33: Step name is too long. Length of 75 is longer than the maximum allowed: 70
linha 34: Wrong indentation for "Step", expected indentation level of 2, but got 4
linha 35: Wrong indentation for "Step", expected indentation level of 2, but got 4
linha 35: Step name is too long. Length of 109 is longer than the maximum allowed: 70
linha 36: Wrong indentation for "Step", expected indentation level of 2, but got 4
linha 36: Step "When I close the modal dialog" should not appear after step using keyword then
linha 38: Multiple empty lines are not allowed
linha 39: Multiple empty lines are not allowed
linha 41: Wrong indentation for "Step", expected indentation level of 2, but got 4
linha 42: Wrong indentation for "Step", expected indentation level of 2, but got 4
linha 43: Wrong indentation for "Step", expected indentation level of 2, but got 4
linha 43: Step "When I enter the hostname of "localhost" as "hostname"" should not appear after step using keyword then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48: Wrong indentation for "Step", expected indentation level of 2, but got 4
linha 48: Step name is too long. Length of 106 is longer than the maximum allowed: 70
linha 49: Wrong indentation for "Step", expected indentation level of 2, but got 4
linha 50: Wrong indentation for "Step", expected indentation level of 2, but got 4
linha 50: Step "When I click on "Details"" should not appear after step using keyword then
linha 51: Wrong indentation for "Step", expected indentation level of 2, but got 4
linha 51: Step name is too long. Length of 75 is longer than the maximum allowed: 70
linha 52: Wrong indentation for "Step", expected indentation level of 2, but got 4
linha 53: Wrong indentation for "Step", expected indentation level of 2, but got 4
linha 53: Step name is too long. Length of 102 is longer than the maximum allowed: 70
linha 54: Wrong indentation for "Step", expected indentation level of 2, but got 4
linha 54: Step "When I close the modal dialog" should not appear after step using keyword then
linha 56: Multiple empty lines are not allowed
linha 57: Multiple empty lines are not allowed
linha 59: Wrong indentation for "Step", expected indentation level of 2, but got 4
linha 60: Wrong indentation for "Step", expected indentation level of 2, but got 4
linha 61: Wrong indentation for "Step", expected indentation level of 2, but got 4
linha 61: Step "When I enter the hostname of "localhost" as "hostname"" should not appear after step using keyword then
linha 62: Wrong indentation for "Step", expected indentation level of 2, but got 4
linha 63: Wrong indentation for "Step", expected indentation level of 2, but got 4
linha 64: Wrong indentation for "Step", expected indentation level of 2, but got 4
linha 65: Wrong indentation for "Step", expected indentation level of 2, but got 4
linha 66: Wrong indentation for "Step", expected indentation level of 2, but got 4
linha 66: Step name is too long. Length of 106 is longer than the maximum allowed: 70
linha 67: Wrong indentation for "Step", expected indentation level of 2, but got 4
linha 68: Wrong indentation for "Step", expected indentation level of 2, but got 4
linha 68: Step "When I click on "Details"" should not appear after step using keyword then
linha 69: Wrong indentation for "Step", expected indentation level of 2, but got 4
linha 69: Step name is too long. Length of 75 is longer than the maximum allowed: 70
linha 70: Wrong indentation for "Step", expected indentation level of 2, but got 4
linha 71: Wrong indentation for "Step", expected indentation level of 2, but got 4
linha 71: Step name is too long. Length of 102 is longer than the maximum allowed: 70
linha 72: Wrong indentation for "Step", expected indentation level of 2, but got 4
linha 72: Step "When I close the modal dialog" should not appear after step using keyword then
linha 74: Multiple empty lines are not allowed
linha 75: Multiple empty lines are not allowed</t>
  </si>
  <si>
    <t>linha 6: Multiple empty lines are not allowed
linha 7: Multiple empty lines are not allowed
linha 11: Step "When I enter the hostname of "sle_minion" as "hostname"" should not appear after step using keyword then
linha 20: Multiple empty lines are not allowed
linha 21: Multiple empty lines are not allowed
linha 25: Step "When I enter "not-existing-name" as "hostname"" should not appear after step using keyword then
linha 30: Step name is too long. Length of 106 is longer than the maximum allowed: 70
linha 32: Step "When I click on "Details"" should not appear after step using keyword then
linha 33: Step name is too long. Length of 75 is longer than the maximum allowed: 70
linha 35: Step name is too long. Length of 109 is longer than the maximum allowed: 70
linha 36: Step "When I close the modal dialog" should not appear after step using keyword then
linha 38: Multiple empty lines are not allowed
linha 39: Multiple empty lines are not allowed
linha 43: Step "When I enter the hostname of "localhost" as "hostname"" should not appear after step using keyword then
linha 48: Step name is too long. Length of 106 is longer than the maximum allowed: 70
linha 50: Step "When I click on "Details"" should not appear after step using keyword then
linha 51: Step name is too long. Length of 75 is longer than the maximum allowed: 70
linha 53: Step name is too long. Length of 102 is longer than the maximum allowed: 70
linha 54: Step "When I close the modal dialog" should not appear after step using keyword then
linha 56: Multiple empty lines are not allowed
linha 57: Multiple empty lines are not allowed
linha 61: Step "When I enter the hostname of "localhost" as "hostname"" should not appear after step using keyword then
linha 66: Step name is too long. Length of 106 is longer than the maximum allowed: 70
linha 68: Step "When I click on "Details"" should not appear after step using keyword then
linha 69: Step name is too long. Length of 75 is longer than the maximum allowed: 70
linha 71: Step name is too long. Length of 102 is longer than the maximum allowed: 70
linha 72: Step "When I close the modal dialog" should not appear after step using keyword then
linha 74: Multiple empty lines are not allowed
linha 75: Multiple empty lines are not allowed</t>
  </si>
  <si>
    <t>linha 11: Step "When I enter the hostname of "sle_minion" as "hostname"" should not appear after step using keyword then
linha 25: Step "When I enter "not-existing-name" as "hostname"" should not appear after step using keyword then
linha 30: Step name is too long. Length of 106 is longer than the maximum allowed: 70
linha 32: Step "When I click on "Details"" should not appear after step using keyword then
linha 33: Step name is too long. Length of 75 is longer than the maximum allowed: 70
linha 35: Step name is too long. Length of 109 is longer than the maximum allowed: 70
linha 36: Step "When I close the modal dialog" should not appear after step using keyword then
linha 43: Step "When I enter the hostname of "localhost" as "hostname"" should not appear after step using keyword then
linha 48: Step name is too long. Length of 106 is longer than the maximum allowed: 70
linha 50: Step "When I click on "Details"" should not appear after step using keyword then
linha 51: Step name is too long. Length of 75 is longer than the maximum allowed: 70
linha 53: Step name is too long. Length of 102 is longer than the maximum allowed: 70
linha 54: Step "When I close the modal dialog" should not appear after step using keyword then
linha 61: Step "When I enter the hostname of "localhost" as "hostname"" should not appear after step using keyword then
linha 66: Step name is too long. Length of 106 is longer than the maximum allowed: 70
linha 68: Step "When I click on "Details"" should not appear after step using keyword then
linha 69: Step name is too long. Length of 75 is longer than the maximum allowed: 70
linha 71: Step name is too long. Length of 102 is longer than the maximum allowed: 70
linha 72: Step "When I close the modal dialog" should not appear after step using keyword then</t>
  </si>
  <si>
    <t>linha 4: Wrong indentation for "Step", expected indentation level of 2, but got 4
linha 6: Multiple empty lines are not allowed
linha 7: Multiple empty lines are not allowed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12: Step "When I enter "My State Channel" as "cofName"" should not appear after step using keyword then
linha 13: Wrong indentation for "Step", expected indentation level of 2, but got 4
linha 14: Wrong indentation for "Step", expected indentation level of 2, but got 4
linha 15: Wrong indentation for "Step", expected indentation level of 2, but got 4
linha 15: Step name is too long. Length of 84 is longer than the maximum allowed: 70
linha 16: Wrong indentation for "Step", expected indentation level of 2, but got 4
linha 17: Wrong indentation for "Step", expected indentation level of 2, but got 4
linha 18: Wrong indentation for "Step", expected indentation level of 2, but got 4
linha 19: Wrong indentation for "Step", expected indentation level of 2, but got 4
linha 20: Wrong indentation for "Step", expected indentation level of 2, but got 4
linha 22: Multiple empty lines are not allowed
linha 23: Multiple empty lines are not allowed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29: Wrong indentation for "Step", expected indentation level of 2, but got 4
linha 30: Wrong indentation for "Step", expected indentation level of 2, but got 4
linha 31: Wrong indentation for "Step", expected indentation level of 2, but got 4
linha 32: Wrong indentation for "Step", expected indentation level of 2, but got 4
linha 34: Multiple empty lines are not allowed
linha 35: Multiple empty lines are not allowed
linha 37: Wrong indentation for "Step", expected indentation level of 2, but got 4
linha 38: Wrong indentation for "Step", expected indentation level of 2, but got 4
linha 39: Wrong indentation for "Step", expected indentation level of 2, but got 4
linha 40: Wrong indentation for "Step", expected indentation level of 2, but got 4
linha 40: Step "When I follow "View/Edit 'init.sls' File"" should not appear after step using keyword then
linha 41: Wrong indentation for "Step", expected indentation level of 2, but got 4
linha 41: Step name is too long. Length of 75 is longer than the maximum allowed: 70
linha 42: Wrong indentation for "Step", expected indentation level of 2, but got 4
linha 43: Wrong indentation for "Step", expected indentation level of 2, but got 4
linha 45: Multiple empty lines are not allowed
linha 46: Multiple empty lines are not allowed
linha 48: Wrong indentation for "Step", expected indentation level of 2, but got 4
linha 49: Wrong indentation for "Step", expected indentation level of 2, but got 4
linha 50: Wrong indentation for "Step", expected indentation level of 2, but got 4
linha 51: Wrong indentation for "Step", expected indentation level of 2, but got 4
linha 52: Wrong indentation for "Step", expected indentation level of 2, but got 4
linha 52: Step "When I click on "Execute States"" should not appear after step using keyword then
linha 53: Wrong indentation for "Step", expected indentation level of 2, but got 4
linha 54: Wrong indentation for "Step", expected indentation level of 2, but got 4
linha 54: Step "When I wait until event "Apply states [custom] scheduled" is completed" should not appear after step using keyword then
linha 55: Wrong indentation for "Step", expected indentation level of 2, but got 4
linha 57: Multiple empty lines are not allowed
linha 58: Multiple empty lines are not allowed
linha 60: Wrong indentation for "Step", expected indentation level of 2, but got 4
linha 61: Wrong indentation for "Step", expected indentation level of 2, but got 4
linha 62: Wrong indentation for "Step", expected indentation level of 2, but got 4
linha 63: Wrong indentation for "Step", expected indentation level of 2, but got 4
linha 63: Step "When I follow "Delete"" should use And instead of When
linha 64: Wrong indentation for "Step", expected indentation level of 2, but got 4
linha 65: Wrong indentation for "Step", expected indentation level of 2, but got 4
linha 65: Step name is too long. Length of 75 is longer than the maximum allowed: 70
linha 66: Wrong indentation for "Step", expected indentation level of 2, but got 4
linha 66: Step name is too long. Length of 75 is longer than the maximum allowed: 70
linha 68: Multiple empty lines are not allowed
linha 69: Multiple empty lines are not allowed
linha 71: Wrong indentation for "Step", expected indentation level of 2, but got 4
linha 72: Wrong indentation for "Step", expected indentation level of 2, but got 4
linha 73: Wrong indentation for "Step", expected indentation level of 2, but got 4
linha 74: Wrong indentation for "Step", expected indentation level of 2, but got 4
linha 74: Step name is too long. Length of 74 is longer than the maximum allowed: 70
linha 75: Wrong indentation for "Step", expected indentation level of 2, but got 4
linha 75: Step "When I click on "Delete Config Channel"" should not appear after step using keyword then
linha 76: Wrong indentation for "Step", expected indentation level of 2, but got 4
linha 77: Wrong indentation for "Step", expected indentation level of 2, but got 4
linha 79: Multiple empty lines are not allowed
linha 80: Multiple empty lines are not allowed
linha 82: Wrong indentation for "Step", expected indentation level of 2, but got 4
linha 83: Wrong indentation for "Step", expected indentation level of 2, but got 4
linha 84: Wrong indentation for "Step", expected indentation level of 2, but got 4
linha 85: Wrong indentation for "Step", expected indentation level of 2, but got 4
linha 85: Step "When I enter "My State Channel" as "cofName"" should not appear after step using keyword then
linha 86: Wrong indentation for "Step", expected indentation level of 2, but got 4
linha 87: Wrong indentation for "Step", expected indentation level of 2, but got 4
linha 88: Wrong indentation for "Step", expected indentation level of 2, but got 4
linha 88: Step name is too long. Length of 96 is longer than the maximum allowed: 70
linha 89: Wrong indentation for "Step", expected indentation level of 2, but got 4
linha 90: Wrong indentation for "Step", expected indentation level of 2, but got 4
linha 91: Wrong indentation for "Step", expected indentation level of 2, but got 4
linha 92: Wrong indentation for "Step", expected indentation level of 2, but got 4
linha 93: Wrong indentation for "Step", expected indentation level of 2, but got 4
linha 95: Multiple empty lines are not allowed
linha 96: Multiple empty lines are not allowed
linha 98: Wrong indentation for "Step", expected indentation level of 2, but got 4
linha 99: Wrong indentation for "Step", expected indentation level of 2, but got 4
linha 100: Wrong indentation for "Step", expected indentation level of 2, but got 4
linha 101: Wrong indentation for "Step", expected indentation level of 2, but got 4
linha 101: Step "When I enter "My State Channel" as "cofName"" should not appear after step using keyword then
linha 102: Wrong indentation for "Step", expected indentation level of 2, but got 4
linha 103: Wrong indentation for "Step", expected indentation level of 2, but got 4
linha 104: Wrong indentation for "Step", expected indentation level of 2, but got 4
linha 104: Step name is too long. Length of 98 is longer than the maximum allowed: 70
linha 105: Wrong indentation for "Step", expected indentation level of 2, but got 4
linha 106: Wrong indentation for "Step", expected indentation level of 2, but got 4
linha 107: Wrong indentation for "Step", expected indentation level of 2, but got 4
linha 108: Wrong indentation for "Step", expected indentation level of 2, but got 4
linha 109: Wrong indentation for "Step", expected indentation level of 2, but got 4
linha 111: Multiple empty lines are not allowed
linha 112: Multiple empty lines are not allowed
linha 114: Wrong indentation for "Step", expected indentation level of 2, but got 4
linha 115: Wrong indentation for "Step", expected indentation level of 2, but got 4
linha 116: Wrong indentation for "Step", expected indentation level of 2, but got 4
linha 117: Wrong indentation for "Step", expected indentation level of 2, but got 4
linha 117: Step "When I update init.sls from spacecmd with content "touch /tmp/statechannel3:
  cmd.run:
    - creates: /tmp/statechannel3" for channel "statechannel3"" should not appear after step using keyword then
linha 117: Step name is too long. Length of 147 is longer than the maximum allowed: 70
linha 118: Wrong indentation for "Step", expected indentation level of 2, but got 4
linha 118: Step name is too long. Length of 71 is longer than the maximum allowed: 70
linha 119: Wrong indentation for "Step", expected indentation level of 2, but got 4
linha 120: Wrong indentation for "Step", expected indentation level of 2, but got 4
linha 120: Step "When I update init.sls from spacecmd with content "touch /root/statechannel3:
  cmd.run:
    - creates: /root/statechannel3" for channel "statechannel3" and revision "100"" should not appear after step using keyword then
linha 120: Step name is too long. Length of 168 is longer than the maximum allowed: 70
linha 121: Wrong indentation for "Step", expected indentation level of 2, but got 4
linha 121: Step name is too long. Length of 71 is longer than the maximum allowed: 70
linha 122: Wrong indentation for "Step", expected indentation level of 2, but got 4
linha 124: Multiple empty lines are not allowed
linha 125: Multiple empty lines are not allowed
linha 127: Wrong indentation for "Step", expected indentation level of 2, but got 4
linha 128: Wrong indentation for "Step", expected indentation level of 2, but got 4
linha 129: Wrong indentation for "Step", expected indentation level of 2, but got 4
linha 130: Wrong indentation for "Step", expected indentation level of 2, but got 4
linha 131: Wrong indentation for "Step", expected indentation level of 2, but got 4
linha 132: Wrong indentation for "Step", expected indentation level of 2, but got 4
linha 133: Wrong indentation for "Step", expected indentation level of 2, but got 4
linha 134: Wrong indentation for "Step", expected indentation level of 2, but got 4
linha 134: Step "When I check "statechannel-cbox"" should not appear after step using keyword then
linha 135: Wrong indentation for "Step", expected indentation level of 2, but got 4
linha 136: Wrong indentation for "Step", expected indentation level of 2, but got 4
linha 137: Wrong indentation for "Step", expected indentation level of 2, but got 4
linha 138: Wrong indentation for "Step", expected indentation level of 2, but got 4
linha 139: Wrong indentation for "Step", expected indentation level of 2, but got 4
linha 140: Wrong indentation for "Step", expected indentation level of 2, but got 4
linha 140: Step "When I click on "Confirm"" should not appear after step using keyword then
linha 141: Wrong indentation for "Step", expected indentation level of 2, but got 4
linha 143: Multiple empty lines are not allowed
linha 144: Multiple empty lines are not allowed
linha 146: Wrong indentation for "Step", expected indentation level of 2, but got 4
linha 147: Wrong indentation for "Step", expected indentation level of 2, but got 4
linha 148: Wrong indentation for "Step", expected indentation level of 2, but got 4
linha 149: Wrong indentation for "Step", expected indentation level of 2, but got 4
linha 150: Wrong indentation for "Step", expected indentation level of 2, but got 4
linha 151: Wrong indentation for "Step", expected indentation level of 2, but got 4
linha 152: Wrong indentation for "Step", expected indentation level of 2, but got 4
linha 153: Wrong indentation for "Step", expected indentation level of 2, but got 4
linha 154: Wrong indentation for "Step", expected indentation level of 2, but got 4
linha 156: Multiple empty lines are not allowed
linha 157: Multiple empty lines are not allowed
linha 159: Wrong indentation for "Step", expected indentation level of 2, but got 4
linha 160: Wrong indentation for "Step", expected indentation level of 2, but got 4
linha 161: Wrong indentation for "Step", expected indentation level of 2, but got 4
linha 162: Wrong indentation for "Step", expected indentation level of 2, but got 4
linha 163: Wrong indentation for "Step", expected indentation level of 2, but got 4
linha 163: Step "When I check "statechannel3-cbox"" should not appear after step using keyword then
linha 164: Wrong indentation for "Step", expected indentation level of 2, but got 4
linha 165: Wrong indentation for "Step", expected indentation level of 2, but got 4
linha 166: Wrong indentation for "Step", expected indentation level of 2, but got 4
linha 167: Wrong indentation for "Step", expected indentation level of 2, but got 4
linha 168: Wrong indentation for "Step", expected indentation level of 2, but got 4
linha 169: Wrong indentation for "Step", expected indentation level of 2, but got 4
linha 169: Step "When I click on "Confirm"" should not appear after step using keyword then
linha 169: Step "When I click on "Confirm"" should use And instead of When
linha 170: Wrong indentation for "Step", expected indentation level of 2, but got 4
linha 172: Multiple empty lines are not allowed
linha 173: Multiple empty lines are not allowed
linha 175: Wrong indentation for "Step", expected indentation level of 2, but got 4
linha 176: Wrong indentation for "Step", expected indentation level of 2, but got 4
linha 178: Multiple empty lines are not allowed
linha 179: Multiple empty lines are not allowed
linha 181: Wrong indentation for "Step", expected indentation level of 2, but got 4
linha 182: Wrong indentation for "Step", expected indentation level of 2, but got 4
linha 183: Wrong indentation for "Step", expected indentation level of 2, but got 4
linha 184: Wrong indentation for "Step", expected indentation level of 2, but got 4
linha 184: Step name is too long. Length of 74 is longer than the maximum allowed: 70
linha 185: Wrong indentation for "Step", expected indentation level of 2, but got 4
linha 185: Step "When I click on "Delete Config Channel"" should not appear after step using keyword then
linha 186: Wrong indentation for "Step", expected indentation level of 2, but got 4
linha 187: Wrong indentation for "Step", expected indentation level of 2, but got 4
linha 187: Step "When I remove "/root/statechannel" from "sle_minion"" should not appear after step using keyword then
linha 189: Multiple empty lines are not allowed
linha 190: Multiple empty lines are not allowed
linha 192: Wrong indentation for "Step", expected indentation level of 2, but got 4
linha 193: Wrong indentation for "Step", expected indentation level of 2, but got 4
linha 194: Wrong indentation for "Step", expected indentation level of 2, but got 4
linha 195: Wrong indentation for "Step", expected indentation level of 2, but got 4
linha 195: Step name is too long. Length of 74 is longer than the maximum allowed: 70
linha 196: Wrong indentation for "Step", expected indentation level of 2, but got 4
linha 196: Step "When I click on "Delete Config Channel"" should not appear after step using keyword then
linha 197: Wrong indentation for "Step", expected indentation level of 2, but got 4
linha 198: Wrong indentation for "Step", expected indentation level of 2, but got 4
linha 198: Step "When I remove "/root/statechannel2" from "sle_minion"" should not appear after step using keyword then
linha 200: Multiple empty lines are not allowed
linha 201: Multiple empty lines are not allowed
linha 203: Wrong indentation for "Step", expected indentation level of 2, but got 4
linha 204: Wrong indentation for "Step", expected indentation level of 2, but got 4
linha 205: Wrong indentation for "Step", expected indentation level of 2, but got 4
linha 206: Wrong indentation for "Step", expected indentation level of 2, but got 4
linha 206: Step name is too long. Length of 74 is longer than the maximum allowed: 70
linha 207: Wrong indentation for "Step", expected indentation level of 2, but got 4
linha 207: Step "When I click on "Delete Config Channel"" should not appear after step using keyword then
linha 208: Wrong indentation for "Step", expected indentation level of 2, but got 4
linha 209: Wrong indentation for "Step", expected indentation level of 2, but got 4
linha 209: Step "When I remove "/root/statechannel3" from "sle_minion"" should not appear after step using keyword then
linha 211: Multiple empty lines are not allowed
linha 212: Multiple empty lines are not allowed</t>
  </si>
  <si>
    <t>linha 6: Multiple empty lines are not allowed
linha 7: Multiple empty lines are not allowed
linha 12: Step "When I enter "My State Channel" as "cofName"" should not appear after step using keyword then
linha 15: Step name is too long. Length of 84 is longer than the maximum allowed: 70
linha 22: Multiple empty lines are not allowed
linha 23: Multiple empty lines are not allowed
linha 34: Multiple empty lines are not allowed
linha 35: Multiple empty lines are not allowed
linha 40: Step "When I follow "View/Edit 'init.sls' File"" should not appear after step using keyword then
linha 41: Step name is too long. Length of 75 is longer than the maximum allowed: 70
linha 45: Multiple empty lines are not allowed
linha 46: Multiple empty lines are not allowed
linha 52: Step "When I click on "Execute States"" should not appear after step using keyword then
linha 54: Step "When I wait until event "Apply states [custom] scheduled" is completed" should not appear after step using keyword then
linha 57: Multiple empty lines are not allowed
linha 58: Multiple empty lines are not allowed
linha 63: Step "When I follow "Delete"" should use And instead of When
linha 65: Step name is too long. Length of 75 is longer than the maximum allowed: 70
linha 66: Step name is too long. Length of 75 is longer than the maximum allowed: 70
linha 68: Multiple empty lines are not allowed
linha 69: Multiple empty lines are not allowed
linha 74: Step name is too long. Length of 74 is longer than the maximum allowed: 70
linha 75: Step "When I click on "Delete Config Channel"" should not appear after step using keyword then
linha 79: Multiple empty lines are not allowed
linha 80: Multiple empty lines are not allowed
linha 85: Step "When I enter "My State Channel" as "cofName"" should not appear after step using keyword then
linha 88: Step name is too long. Length of 96 is longer than the maximum allowed: 70
linha 95: Multiple empty lines are not allowed
linha 96: Multiple empty lines are not allowed
linha 101: Step "When I enter "My State Channel" as "cofName"" should not appear after step using keyword then
linha 104: Step name is too long. Length of 98 is longer than the maximum allowed: 70
linha 111: Multiple empty lines are not allowed
linha 112: Multiple empty lines are not allowed
linha 117: Step "When I update init.sls from spacecmd with content "touch /tmp/statechannel3:
  cmd.run:
    - creates: /tmp/statechannel3" for channel "statechannel3"" should not appear after step using keyword then
linha 117: Step name is too long. Length of 147 is longer than the maximum allowed: 70
linha 118: Step name is too long. Length of 71 is longer than the maximum allowed: 70
linha 120: Step "When I update init.sls from spacecmd with content "touch /root/statechannel3:
  cmd.run:
    - creates: /root/statechannel3" for channel "statechannel3" and revision "100"" should not appear after step using keyword then
linha 120: Step name is too long. Length of 168 is longer than the maximum allowed: 70
linha 121: Step name is too long. Length of 71 is longer than the maximum allowed: 70
linha 124: Multiple empty lines are not allowed
linha 125: Multiple empty lines are not allowed
linha 134: Step "When I check "statechannel-cbox"" should not appear after step using keyword then
linha 140: Step "When I click on "Confirm"" should not appear after step using keyword then
linha 143: Multiple empty lines are not allowed
linha 144: Multiple empty lines are not allowed
linha 156: Multiple empty lines are not allowed
linha 157: Multiple empty lines are not allowed
linha 163: Step "When I check "statechannel3-cbox"" should not appear after step using keyword then
linha 169: Step "When I click on "Confirm"" should not appear after step using keyword then
linha 169: Step "When I click on "Confirm"" should use And instead of When
linha 172: Multiple empty lines are not allowed
linha 173: Multiple empty lines are not allowed
linha 178: Multiple empty lines are not allowed
linha 179: Multiple empty lines are not allowed
linha 184: Step name is too long. Length of 74 is longer than the maximum allowed: 70
linha 185: Step "When I click on "Delete Config Channel"" should not appear after step using keyword then
linha 187: Step "When I remove "/root/statechannel" from "sle_minion"" should not appear after step using keyword then
linha 189: Multiple empty lines are not allowed
linha 190: Multiple empty lines are not allowed
linha 195: Step name is too long. Length of 74 is longer than the maximum allowed: 70
linha 196: Step "When I click on "Delete Config Channel"" should not appear after step using keyword then
linha 198: Step "When I remove "/root/statechannel2" from "sle_minion"" should not appear after step using keyword then
linha 200: Multiple empty lines are not allowed
linha 201: Multiple empty lines are not allowed
linha 206: Step name is too long. Length of 74 is longer than the maximum allowed: 70
linha 207: Step "When I click on "Delete Config Channel"" should not appear after step using keyword then
linha 209: Step "When I remove "/root/statechannel3" from "sle_minion"" should not appear after step using keyword then
linha 211: Multiple empty lines are not allowed
linha 212: Multiple empty lines are not allowed</t>
  </si>
  <si>
    <t>linha 12: Step "When I enter "My State Channel" as "cofName"" should not appear after step using keyword then
linha 15: Step name is too long. Length of 84 is longer than the maximum allowed: 70
linha 40: Step "When I follow "View/Edit 'init.sls' File"" should not appear after step using keyword then
linha 41: Step name is too long. Length of 75 is longer than the maximum allowed: 70
linha 52: Step "When I click on "Execute States"" should not appear after step using keyword then
linha 54: Step "When I wait until event "Apply states [custom] scheduled" is completed" should not appear after step using keyword then
linha 63: Step "When I follow "Delete"" should use And instead of When
linha 65: Step name is too long. Length of 75 is longer than the maximum allowed: 70
linha 66: Step name is too long. Length of 75 is longer than the maximum allowed: 70
linha 74: Step name is too long. Length of 74 is longer than the maximum allowed: 70
linha 75: Step "When I click on "Delete Config Channel"" should not appear after step using keyword then
linha 85: Step "When I enter "My State Channel" as "cofName"" should not appear after step using keyword then
linha 88: Step name is too long. Length of 96 is longer than the maximum allowed: 70
linha 101: Step "When I enter "My State Channel" as "cofName"" should not appear after step using keyword then
linha 104: Step name is too long. Length of 98 is longer than the maximum allowed: 70
linha 117: Step "When I update init.sls from spacecmd with content "touch /tmp/statechannel3:
  cmd.run:
    - creates: /tmp/statechannel3" for channel "statechannel3"" should not appear after step using keyword then
linha 117: Step name is too long. Length of 147 is longer than the maximum allowed: 70
linha 118: Step name is too long. Length of 71 is longer than the maximum allowed: 70
linha 120: Step "When I update init.sls from spacecmd with content "touch /root/statechannel3:
  cmd.run:
    - creates: /root/statechannel3" for channel "statechannel3" and revision "100"" should not appear after step using keyword then
linha 120: Step name is too long. Length of 168 is longer than the maximum allowed: 70
linha 121: Step name is too long. Length of 71 is longer than the maximum allowed: 70
linha 134: Step "When I check "statechannel-cbox"" should not appear after step using keyword then
linha 140: Step "When I click on "Confirm"" should not appear after step using keyword then
linha 163: Step "When I check "statechannel3-cbox"" should not appear after step using keyword then
linha 169: Step "When I click on "Confirm"" should not appear after step using keyword then
linha 169: Step "When I click on "Confirm"" should use And instead of When
linha 184: Step name is too long. Length of 74 is longer than the maximum allowed: 70
linha 185: Step "When I click on "Delete Config Channel"" should not appear after step using keyword then
linha 187: Step "When I remove "/root/statechannel" from "sle_minion"" should not appear after step using keyword then
linha 195: Step name is too long. Length of 74 is longer than the maximum allowed: 70
linha 196: Step "When I click on "Delete Config Channel"" should not appear after step using keyword then
linha 198: Step "When I remove "/root/statechannel2" from "sle_minion"" should not appear after step using keyword then
linha 206: Step name is too long. Length of 74 is longer than the maximum allowed: 70
linha 207: Step "When I click on "Delete Config Channel"" should not appear after step using keyword then
linha 209: Step "When I remove "/root/statechannel3" from "sle_minion"" should not appear after step using keyword then</t>
  </si>
  <si>
    <t>linha 4: Wrong indentation for "Step", expected indentation level of 2, but got 4
linha 6: Multiple empty lines are not allowed
linha 7: Multiple empty lines are not allowed
linha 10: Wrong indentation for "Step", expected indentation level of 2, but got 4
linha 12: Multiple empty lines are not allowed
linha 13: Multiple empty lines are not allowed
linha 15: Wrong indentation for "Step", expected indentation level of 2, but got 4
linha 17: Multiple empty lines are not allowed
linha 18: Multiple empty lines are not allowed
linha 20: Wrong indentation for "Step", expected indentation level of 2, but got 4
linha 21: Wrong indentation for "Step", expected indentation level of 2, but got 4
linha 22: Wrong indentation for "Step", expected indentation level of 2, but got 4
linha 22: Step "When I enter the hostname of "proxy" as "hostname"" should not appear after step using keyword then
linha 23: Wrong indentation for "Step", expected indentation level of 2, but got 4
linha 24: Wrong indentation for "Step", expected indentation level of 2, but got 4
linha 25: Wrong indentation for "Step", expected indentation level of 2, but got 4
linha 26: Wrong indentation for "Step", expected indentation level of 2, but got 4
linha 27: Wrong indentation for "Step", expected indentation level of 2, but got 4
linha 28: Wrong indentation for "Step", expected indentation level of 2, but got 4
linha 30: Multiple empty lines are not allowed
linha 31: Multiple empty lines are not allowed
linha 34: Wrong indentation for "Step", expected indentation level of 2, but got 4
linha 36: Multiple empty lines are not allowed
linha 37: Multiple empty lines are not allowed
linha 39: Wrong indentation for "Step", expected indentation level of 2, but got 4
linha 41: Multiple empty lines are not allowed
linha 42: Multiple empty lines are not allowed
linha 44: Wrong indentation for "Step", expected indentation level of 2, but got 4
linha 46: Multiple empty lines are not allowed
linha 47: Multiple empty lines are not allowed
linha 50: Wrong indentation for "Step", expected indentation level of 2, but got 4
linha 52: Multiple empty lines are not allowed
linha 53: Multiple empty lines are not allowed
linha 55: Wrong indentation for "Step", expected indentation level of 2, but got 4
linha 55: Step name is too long. Length of 102 is longer than the maximum allowed: 70
linha 56: Wrong indentation for "Step", expected indentation level of 2, but got 4
linha 56: Step name is too long. Length of 113 is longer than the maximum allowed: 70
linha 58: Multiple empty lines are not allowed
linha 59: Multiple empty lines are not allowed
linha 61: Wrong indentation for "Step", expected indentation level of 2, but got 4
linha 63: Multiple empty lines are not allowed
linha 64: Multiple empty lines are not allowed
linha 66: Wrong indentation for "Step", expected indentation level of 2, but got 4
linha 66: Step name is too long. Length of 75 is longer than the maximum allowed: 70
linha 68: Multiple empty lines are not allowed
linha 69: Multiple empty lines are not allowed
linha 71: Wrong indentation for "Step", expected indentation level of 2, but got 4
linha 72: Wrong indentation for "Step", expected indentation level of 2, but got 4
linha 73: Wrong indentation for "Step", expected indentation level of 2, but got 4
linha 74: Wrong indentation for "Step", expected indentation level of 2, but got 4
linha 75: Wrong indentation for "Step", expected indentation level of 2, but got 4
linha 76: Wrong indentation for "Step", expected indentation level of 2, but got 4
linha 77: Wrong indentation for "Step", expected indentation level of 2, but got 4
linha 78: Wrong indentation for "Step", expected indentation level of 2, but got 4
linha 79: Wrong indentation for "Step", expected indentation level of 2, but got 4
linha 80: Wrong indentation for "Step", expected indentation level of 2, but got 4
linha 82: Multiple empty lines are not allowed
linha 83: Multiple empty lines are not allowed
linha 85: Wrong indentation for "Step", expected indentation level of 2, but got 4
linha 86: Wrong indentation for "Step", expected indentation level of 2, but got 4
linha 88: Multiple empty lines are not allowed
linha 89: Multiple empty lines are not allowed</t>
  </si>
  <si>
    <t>linha 6: Multiple empty lines are not allowed
linha 7: Multiple empty lines are not allowed
linha 12: Multiple empty lines are not allowed
linha 13: Multiple empty lines are not allowed
linha 17: Multiple empty lines are not allowed
linha 18: Multiple empty lines are not allowed
linha 22: Step "When I enter the hostname of "proxy" as "hostname"" should not appear after step using keyword then
linha 30: Multiple empty lines are not allowed
linha 31: Multiple empty lines are not allowed
linha 36: Multiple empty lines are not allowed
linha 37: Multiple empty lines are not allowed
linha 41: Multiple empty lines are not allowed
linha 42: Multiple empty lines are not allowed
linha 46: Multiple empty lines are not allowed
linha 47: Multiple empty lines are not allowed
linha 52: Multiple empty lines are not allowed
linha 53: Multiple empty lines are not allowed
linha 55: Step name is too long. Length of 102 is longer than the maximum allowed: 70
linha 56: Step name is too long. Length of 113 is longer than the maximum allowed: 70
linha 58: Multiple empty lines are not allowed
linha 59: Multiple empty lines are not allowed
linha 63: Multiple empty lines are not allowed
linha 64: Multiple empty lines are not allowed
linha 66: Step name is too long. Length of 75 is longer than the maximum allowed: 70
linha 68: Multiple empty lines are not allowed
linha 69: Multiple empty lines are not allowed
linha 82: Multiple empty lines are not allowed
linha 83: Multiple empty lines are not allowed
linha 88: Multiple empty lines are not allowed
linha 89: Multiple empty lines are not allowed</t>
  </si>
  <si>
    <t>linha 22: Step "When I enter the hostname of "proxy" as "hostname"" should not appear after step using keyword then
linha 55: Step name is too long. Length of 102 is longer than the maximum allowed: 70
linha 56: Step name is too long. Length of 113 is longer than the maximum allowed: 70
linha 66: Step name is too long. Length of 75 is longer than the maximum allowed: 70</t>
  </si>
  <si>
    <t>linha 4: Wrong indentation for "Step", expected indentation level of 2, but got 4
linha 6: Multiple empty lines are not allowed
linha 7: Multiple empty lines are not allowed
linha 9: Wrong indentation for "Step", expected indentation level of 2, but got 4
linha 10: Wrong indentation for "Step", expected indentation level of 2, but got 4
linha 11: Wrong indentation for "Step", expected indentation level of 2, but got 4
linha 12: Wrong indentation for "Step", expected indentation level of 2, but got 4
linha 13: Wrong indentation for "Step", expected indentation level of 2, but got 4
linha 14: Wrong indentation for "Step", expected indentation level of 2, but got 4
linha 15: Wrong indentation for "Step", expected indentation level of 2, but got 4
linha 17: Multiple empty lines are not allowed
linha 18: Multiple empty lines are not allowed
linha 20: Wrong indentation for "Step", expected indentation level of 2, but got 4
linha 21: Wrong indentation for "Step", expected indentation level of 2, but got 4
linha 22: Wrong indentation for "Step", expected indentation level of 2, but got 4
linha 23: Wrong indentation for "Step", expected indentation level of 2, but got 4
linha 24: Wrong indentation for "Step", expected indentation level of 2, but got 4
linha 25: Wrong indentation for "Step", expected indentation level of 2, but got 4
linha 27: Multiple empty lines are not allowed
linha 28: Multiple empty lines are not allowed
linha 31: Wrong indentation for "Step", expected indentation level of 2, but got 4
linha 32: Wrong indentation for "Step", expected indentation level of 2, but got 4
linha 33: Wrong indentation for "Step", expected indentation level of 2, but got 4
linha 34: Wrong indentation for "Step", expected indentation level of 2, but got 4
linha 35: Wrong indentation for "Step", expected indentation level of 2, but got 4
linha 36: Wrong indentation for "Step", expected indentation level of 2, but got 4
linha 37: Wrong indentation for "Step", expected indentation level of 2, but got 4
linha 39: Multiple empty lines are not allowed
linha 40: Multiple empty lines are not allowed
linha 43: Wrong indentation for "Step", expected indentation level of 2, but got 4
linha 44: Wrong indentation for "Step", expected indentation level of 2, but got 4
linha 45: Wrong indentation for "Step", expected indentation level of 2, but got 4
linha 46: Wrong indentation for "Step", expected indentation level of 2, but got 4
linha 47: Wrong indentation for "Step", expected indentation level of 2, but got 4
linha 48: Wrong indentation for "Step", expected indentation level of 2, but got 4
linha 50: Multiple empty lines are not allowed
linha 51: Multiple empty lines are not allowed
linha 54: Wrong indentation for "Step", expected indentation level of 2, but got 4
linha 55: Wrong indentation for "Step", expected indentation level of 2, but got 4
linha 56: Wrong indentation for "Step", expected indentation level of 2, but got 4
linha 56: Step name is too long. Length of 86 is longer than the maximum allowed: 70
linha 57: Wrong indentation for "Step", expected indentation level of 2, but got 4
linha 58: Wrong indentation for "Step", expected indentation level of 2, but got 4
linha 59: Wrong indentation for "Step", expected indentation level of 2, but got 4
linha 59: Step "When I follow "Repositories" in the content area" should not appear after step using keyword then
linha 60: Wrong indentation for "Step", expected indentation level of 2, but got 4
linha 61: Wrong indentation for "Step", expected indentation level of 2, but got 4
linha 62: Wrong indentation for "Step", expected indentation level of 2, but got 4
linha 62: Step name is too long. Length of 91 is longer than the maximum allowed: 70
linha 64: Multiple empty lines are not allowed
linha 65: Multiple empty lines are not allowed
linha 67: Wrong indentation for "Step", expected indentation level of 2, but got 4
linha 68: Wrong indentation for "Step", expected indentation level of 2, but got 4
linha 69: Wrong indentation for "Step", expected indentation level of 2, but got 4
linha 69: Step name is too long. Length of 86 is longer than the maximum allowed: 70
linha 70: Wrong indentation for "Step", expected indentation level of 2, but got 4
linha 71: Wrong indentation for "Step", expected indentation level of 2, but got 4
linha 72: Wrong indentation for "Step", expected indentation level of 2, but got 4
linha 72: Step "When I follow "Repositories" in the content area" should not appear after step using keyword then
linha 73: Wrong indentation for "Step", expected indentation level of 2, but got 4
linha 74: Wrong indentation for "Step", expected indentation level of 2, but got 4
linha 75: Wrong indentation for "Step", expected indentation level of 2, but got 4
linha 75: Step name is too long. Length of 95 is longer than the maximum allowed: 70
linha 77: Multiple empty lines are not allowed
linha 78: Multiple empty lines are not allowed
linha 81: Wrong indentation for "Step", expected indentation level of 2, but got 4
linha 82: Wrong indentation for "Step", expected indentation level of 2, but got 4
linha 83: Wrong indentation for "Step", expected indentation level of 2, but got 4
linha 83: Step name is too long. Length of 86 is longer than the maximum allowed: 70
linha 84: Wrong indentation for "Step", expected indentation level of 2, but got 4
linha 85: Wrong indentation for "Step", expected indentation level of 2, but got 4
linha 86: Wrong indentation for "Step", expected indentation level of 2, but got 4
linha 86: Step "When I follow "Repositories" in the content area" should not appear after step using keyword then
linha 87: Wrong indentation for "Step", expected indentation level of 2, but got 4
linha 88: Wrong indentation for "Step", expected indentation level of 2, but got 4
linha 89: Wrong indentation for "Step", expected indentation level of 2, but got 4
linha 89: Step name is too long. Length of 95 is longer than the maximum allowed: 70
linha 91: Multiple empty lines are not allowed
linha 92: Multiple empty lines are not allowed
linha 95: Wrong indentation for "Step", expected indentation level of 2, but got 4
linha 96: Wrong indentation for "Step", expected indentation level of 2, but got 4
linha 97: Wrong indentation for "Step", expected indentation level of 2, but got 4
linha 97: Step name is too long. Length of 86 is longer than the maximum allowed: 70
linha 98: Wrong indentation for "Step", expected indentation level of 2, but got 4
linha 99: Wrong indentation for "Step", expected indentation level of 2, but got 4
linha 100: Wrong indentation for "Step", expected indentation level of 2, but got 4
linha 100: Step "When I follow "Repositories" in the content area" should not appear after step using keyword then
linha 101: Wrong indentation for "Step", expected indentation level of 2, but got 4
linha 102: Wrong indentation for "Step", expected indentation level of 2, but got 4
linha 103: Wrong indentation for "Step", expected indentation level of 2, but got 4
linha 103: Step name is too long. Length of 97 is longer than the maximum allowed: 70
linha 105: Multiple empty lines are not allowed
linha 106: Multiple empty lines are not allowed
linha 108: Wrong indentation for "Step", expected indentation level of 2, but got 4
linha 109: Wrong indentation for "Step", expected indentation level of 2, but got 4
linha 110: Wrong indentation for "Step", expected indentation level of 2, but got 4
linha 111: Wrong indentation for "Step", expected indentation level of 2, but got 4
linha 112: Wrong indentation for "Step", expected indentation level of 2, but got 4
linha 113: Wrong indentation for "Step", expected indentation level of 2, but got 4
linha 114: Wrong indentation for "Step", expected indentation level of 2, but got 4
linha 116: Multiple empty lines are not allowed
linha 117: Multiple empty lines are not allowed
linha 119: Wrong indentation for "Step", expected indentation level of 2, but got 4
linha 120: Wrong indentation for "Step", expected indentation level of 2, but got 4
linha 121: Wrong indentation for "Step", expected indentation level of 2, but got 4
linha 121: Step name is too long. Length of 86 is longer than the maximum allowed: 70
linha 122: Wrong indentation for "Step", expected indentation level of 2, but got 4
linha 123: Wrong indentation for "Step", expected indentation level of 2, but got 4
linha 124: Wrong indentation for "Step", expected indentation level of 2, but got 4
linha 124: Step "When I follow "Repositories" in the content area" should not appear after step using keyword then
linha 125: Wrong indentation for "Step", expected indentation level of 2, but got 4
linha 126: Wrong indentation for "Step", expected indentation level of 2, but got 4
linha 127: Wrong indentation for "Step", expected indentation level of 2, but got 4
linha 127: Step name is too long. Length of 93 is longer than the maximum allowed: 70
linha 129: Multiple empty lines are not allowed
linha 130: Multiple empty lines are not allowed
linha 133: Wrong indentation for "Step", expected indentation level of 2, but got 4
linha 134: Wrong indentation for "Step", expected indentation level of 2, but got 4
linha 135: Wrong indentation for "Step", expected indentation level of 2, but got 4
linha 136: Wrong indentation for "Step", expected indentation level of 2, but got 4
linha 137: Wrong indentation for "Step", expected indentation level of 2, but got 4
linha 138: Wrong indentation for "Step", expected indentation level of 2, but got 4
linha 138: Step name is too long. Length of 98 is longer than the maximum allowed: 70
linha 140: Multiple empty lines are not allowed
linha 141: Multiple empty lines are not allowed
linha 144: Wrong indentation for "Step", expected indentation level of 2, but got 4
linha 145: Wrong indentation for "Step", expected indentation level of 2, but got 4
linha 146: Wrong indentation for "Step", expected indentation level of 2, but got 4
linha 147: Wrong indentation for "Step", expected indentation level of 2, but got 4
linha 148: Wrong indentation for "Step", expected indentation level of 2, but got 4
linha 149: Wrong indentation for "Step", expected indentation level of 2, but got 4
linha 150: Wrong indentation for "Step", expected indentation level of 2, but got 4
linha 152: Multiple empty lines are not allowed
linha 153: Multiple empty lines are not allowed
linha 156: Wrong indentation for "Step", expected indentation level of 2, but got 4
linha 157: Wrong indentation for "Step", expected indentation level of 2, but got 4
linha 158: Wrong indentation for "Step", expected indentation level of 2, but got 4
linha 159: Wrong indentation for "Step", expected indentation level of 2, but got 4
linha 160: Wrong indentation for "Step", expected indentation level of 2, but got 4
linha 161: Wrong indentation for "Step", expected indentation level of 2, but got 4
linha 161: Step name is too long. Length of 99 is longer than the maximum allowed: 70
linha 163: Multiple empty lines are not allowed
linha 164: Multiple empty lines are not allowed
linha 167: Wrong indentation for "Step", expected indentation level of 2, but got 4
linha 168: Wrong indentation for "Step", expected indentation level of 2, but got 4
linha 169: Wrong indentation for "Step", expected indentation level of 2, but got 4
linha 169: Step name is too long. Length of 86 is longer than the maximum allowed: 70
linha 170: Wrong indentation for "Step", expected indentation level of 2, but got 4
linha 171: Wrong indentation for "Step", expected indentation level of 2, but got 4
linha 172: Wrong indentation for "Step", expected indentation level of 2, but got 4
linha 172: Step "When I follow "Repositories" in the content area" should not appear after step using keyword then
linha 173: Wrong indentation for "Step", expected indentation level of 2, but got 4
linha 174: Wrong indentation for "Step", expected indentation level of 2, but got 4
linha 175: Wrong indentation for "Step", expected indentation level of 2, but got 4
linha 175: Step name is too long. Length of 95 is longer than the maximum allowed: 70
linha 177: Multiple empty lines are not allowed
linha 178: Multiple empty lines are not allowed</t>
  </si>
  <si>
    <t>linha 6: Multiple empty lines are not allowed
linha 7: Multiple empty lines are not allowed
linha 17: Multiple empty lines are not allowed
linha 18: Multiple empty lines are not allowed
linha 27: Multiple empty lines are not allowed
linha 28: Multiple empty lines are not allowed
linha 39: Multiple empty lines are not allowed
linha 40: Multiple empty lines are not allowed
linha 50: Multiple empty lines are not allowed
linha 51: Multiple empty lines are not allowed
linha 56: Step name is too long. Length of 86 is longer than the maximum allowed: 70
linha 59: Step "When I follow "Repositories" in the content area" should not appear after step using keyword then
linha 62: Step name is too long. Length of 91 is longer than the maximum allowed: 70
linha 64: Multiple empty lines are not allowed
linha 65: Multiple empty lines are not allowed
linha 69: Step name is too long. Length of 86 is longer than the maximum allowed: 70
linha 72: Step "When I follow "Repositories" in the content area" should not appear after step using keyword then
linha 75: Step name is too long. Length of 95 is longer than the maximum allowed: 70
linha 77: Multiple empty lines are not allowed
linha 78: Multiple empty lines are not allowed
linha 83: Step name is too long. Length of 86 is longer than the maximum allowed: 70
linha 86: Step "When I follow "Repositories" in the content area" should not appear after step using keyword then
linha 89: Step name is too long. Length of 95 is longer than the maximum allowed: 70
linha 91: Multiple empty lines are not allowed
linha 92: Multiple empty lines are not allowed
linha 97: Step name is too long. Length of 86 is longer than the maximum allowed: 70
linha 100: Step "When I follow "Repositories" in the content area" should not appear after step using keyword then
linha 103: Step name is too long. Length of 97 is longer than the maximum allowed: 70
linha 105: Multiple empty lines are not allowed
linha 106: Multiple empty lines are not allowed
linha 116: Multiple empty lines are not allowed
linha 117: Multiple empty lines are not allowed
linha 121: Step name is too long. Length of 86 is longer than the maximum allowed: 70
linha 124: Step "When I follow "Repositories" in the content area" should not appear after step using keyword then
linha 127: Step name is too long. Length of 93 is longer than the maximum allowed: 70
linha 129: Multiple empty lines are not allowed
linha 130: Multiple empty lines are not allowed
linha 138: Step name is too long. Length of 98 is longer than the maximum allowed: 70
linha 140: Multiple empty lines are not allowed
linha 141: Multiple empty lines are not allowed
linha 152: Multiple empty lines are not allowed
linha 153: Multiple empty lines are not allowed
linha 161: Step name is too long. Length of 99 is longer than the maximum allowed: 70
linha 163: Multiple empty lines are not allowed
linha 164: Multiple empty lines are not allowed
linha 169: Step name is too long. Length of 86 is longer than the maximum allowed: 70
linha 172: Step "When I follow "Repositories" in the content area" should not appear after step using keyword then
linha 175: Step name is too long. Length of 95 is longer than the maximum allowed: 70
linha 177: Multiple empty lines are not allowed
linha 178: Multiple empty lines are not allowed</t>
  </si>
  <si>
    <t>linha 56: Step name is too long. Length of 86 is longer than the maximum allowed: 70
linha 59: Step "When I follow "Repositories" in the content area" should not appear after step using keyword then
linha 62: Step name is too long. Length of 91 is longer than the maximum allowed: 70
linha 69: Step name is too long. Length of 86 is longer than the maximum allowed: 70
linha 72: Step "When I follow "Repositories" in the content area" should not appear after step using keyword then
linha 75: Step name is too long. Length of 95 is longer than the maximum allowed: 70
linha 83: Step name is too long. Length of 86 is longer than the maximum allowed: 70
linha 86: Step "When I follow "Repositories" in the content area" should not appear after step using keyword then
linha 89: Step name is too long. Length of 95 is longer than the maximum allowed: 70
linha 97: Step name is too long. Length of 86 is longer than the maximum allowed: 70
linha 100: Step "When I follow "Repositories" in the content area" should not appear after step using keyword then
linha 103: Step name is too long. Length of 97 is longer than the maximum allowed: 70
linha 121: Step name is too long. Length of 86 is longer than the maximum allowed: 70
linha 124: Step "When I follow "Repositories" in the content area" should not appear after step using keyword then
linha 127: Step name is too long. Length of 93 is longer than the maximum allowed: 70
linha 138: Step name is too long. Length of 98 is longer than the maximum allowed: 70
linha 161: Step name is too long. Length of 99 is longer than the maximum allowed: 70
linha 169: Step name is too long. Length of 86 is longer than the maximum allowed: 70
linha 172: Step "When I follow "Repositories" in the content area" should not appear after step using keyword then
linha 175: Step name is too long. Length of 95 is longer than the maximum allowed: 70</t>
  </si>
  <si>
    <t>linha 3: Scenario name is too long. Length of 116 is longer than the maximum allowed: 70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82 is longer than the maximum allowed: 70
linha 8: Wrong indentation for "Step", expected indentation level of 2, but got 4
linha 8: Step "When the network moves ahead "52" blocks" should not appear after step using keyword then
linha 9: Wrong indentation for "Step", expected indentation level of 2, but got 4
linha 9: Step name is too long. Length of 77 is longer than the maximum allowed: 70
linha 11: Multiple empty lines are not allowed
linha 12: Multiple empty lines are not allowed
linha 14: Wrong indentation for "Step", expected indentation level of 2, but got 4
linha 15: Wrong indentation for "Step", expected indentation level of 2, but got 4
linha 16: Wrong indentation for "Step", expected indentation level of 2, but got 4
linha 16: Step name is too long. Length of 82 is longer than the maximum allowed: 70
linha 18: Multiple empty lines are not allowed
linha 19: Multiple empty lines are not allowed</t>
  </si>
  <si>
    <t>linha 3: Scenario name is too long. Length of 116 is longer than the maximum allowed: 70
linha 7: Step name is too long. Length of 82 is longer than the maximum allowed: 70
linha 8: Step "When the network moves ahead "52" blocks" should not appear after step using keyword then
linha 9: Step name is too long. Length of 77 is longer than the maximum allowed: 70
linha 11: Multiple empty lines are not allowed
linha 12: Multiple empty lines are not allowed
linha 16: Step name is too long. Length of 82 is longer than the maximum allowed: 70
linha 18: Multiple empty lines are not allowed
linha 19: Multiple empty lines are not allowed</t>
  </si>
  <si>
    <t>linha 3: Scenario name is too long. Length of 116 is longer than the maximum allowed: 70
linha 7: Step name is too long. Length of 82 is longer than the maximum allowed: 70
linha 8: Step "When the network moves ahead "52" blocks" should not appear after step using keyword then
linha 9: Step name is too long. Length of 77 is longer than the maximum allowed: 70
linha 16: Step name is too long. Length of 82 is longer than the maximum allowed: 70</t>
  </si>
  <si>
    <t>linha 3: Scenario name is too long. Length of 95 is longer than the maximum allowed: 70
linha 4: Wrong indentation for "Step", expected indentation level of 2, but got 4
linha 5: Wrong indentation for "Step", expected indentation level of 2, but got 4
linha 6: Wrong indentation for "Step", expected indentation level of 2, but got 4
linha 7: Wrong indentation for "Step", expected indentation level of 2, but got 4
linha 7: Step name is too long. Length of 85 is longer than the maximum allowed: 70
linha 8: Wrong indentation for "Step", expected indentation level of 2, but got 4
linha 9: Wrong indentation for "Step", expected indentation level of 2, but got 4
linha 9: Step "When the network moves ahead "1" blocks" should not appear after step using keyword then
linha 10: Wrong indentation for "Step", expected indentation level of 2, but got 4
linha 10: Step name is too long. Length of 77 is longer than the maximum allowed: 70
linha 11: Wrong indentation for "Step", expected indentation level of 2, but got 4
linha 12: Wrong indentation for "Step", expected indentation level of 2, but got 4
linha 13: Wrong indentation for "Step", expected indentation level of 2, but got 4
linha 15: Multiple empty lines are not allowed
linha 16: Multiple empty lines are not allowed</t>
  </si>
  <si>
    <t>linha 3: Scenario name is too long. Length of 95 is longer than the maximum allowed: 70
linha 7: Step name is too long. Length of 85 is longer than the maximum allowed: 70
linha 9: Step "When the network moves ahead "1" blocks" should not appear after step using keyword then
linha 10: Step name is too long. Length of 77 is longer than the maximum allowed: 70
linha 15: Multiple empty lines are not allowed
linha 16: Multiple empty lines are not allowed</t>
  </si>
  <si>
    <t>linha 3: Scenario name is too long. Length of 95 is longer than the maximum allowed: 70
linha 7: Step name is too long. Length of 85 is longer than the maximum allowed: 70
linha 9: Step "When the network moves ahead "1" blocks" should not appear after step using keyword then
linha 10: Step name is too long. Length of 77 is longer than the maximum allowed: 70</t>
  </si>
  <si>
    <t>linha 3: Scenario name is too long. Length of 85 is longer than the maximum allowed: 70
linha 4: Wrong indentation for "Step", expected indentation level of 2, but got 4
linha 5: Wrong indentation for "Step", expected indentation level of 2, but got 4
linha 7: Multiple empty lines are not allowed
linha 8: Multiple empty lines are not allowed</t>
  </si>
  <si>
    <t>linha 3: Scenario name is too long. Length of 85 is longer than the maximum allowed: 70
linha 7: Multiple empty lines are not allowed
linha 8: Multiple empty lines are not allowed</t>
  </si>
  <si>
    <t>linha 3: Scenario name is too long. Length of 85 is longer than the maximum allowed: 70</t>
  </si>
  <si>
    <t>linha 3: Scenario name is too long. Length of 134 is longer than the maximum allowed: 70
linha 5: Multiple empty lines are not allowed
linha 6: Multiple empty lines are not allowed
linha 7: Multiple empty lines are not allowed</t>
  </si>
  <si>
    <t>linha 3: Scenario name is too long. Length of 134 is longer than the maximum allowed: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</si>
</sst>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 shrinkToFit="0" wrapText="1"/>
    </xf>
    <xf borderId="0" fillId="0" fontId="2" numFmtId="164" xfId="0" applyFont="1" applyNumberFormat="1"/>
    <xf borderId="0" fillId="0" fontId="1" numFmtId="0" xfId="0" applyFont="1"/>
    <xf borderId="0" fillId="2" fontId="4" numFmtId="0" xfId="0" applyAlignment="1" applyFont="1">
      <alignment vertical="bottom"/>
    </xf>
    <xf borderId="0" fillId="2" fontId="4" numFmtId="0" xfId="0" applyAlignment="1" applyFont="1">
      <alignment horizontal="center"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13"/>
    <col customWidth="1" min="5" max="5" width="34.38"/>
    <col customWidth="1" min="6" max="7" width="32.75"/>
    <col customWidth="1" min="8" max="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10</v>
      </c>
      <c r="B2" s="4" t="s">
        <v>11</v>
      </c>
      <c r="C2" s="4">
        <v>0.0</v>
      </c>
      <c r="D2" s="4">
        <v>1.0</v>
      </c>
      <c r="E2" s="5" t="s">
        <v>12</v>
      </c>
      <c r="F2" s="6">
        <f t="shared" ref="F2:F41" si="1">IF(E2="-", 0, LEN(E2)-LEN(SUBSTITUTE(E2, CHAR(10), ""))+1)</f>
        <v>0</v>
      </c>
      <c r="G2" s="4" t="s">
        <v>13</v>
      </c>
      <c r="H2" s="4">
        <v>26.0</v>
      </c>
      <c r="I2" s="4" t="s">
        <v>14</v>
      </c>
      <c r="J2" s="4" t="s">
        <v>15</v>
      </c>
    </row>
    <row r="3">
      <c r="A3" s="4" t="s">
        <v>16</v>
      </c>
      <c r="B3" s="4" t="s">
        <v>11</v>
      </c>
      <c r="C3" s="4">
        <v>0.0</v>
      </c>
      <c r="D3" s="4">
        <v>1.0</v>
      </c>
      <c r="E3" s="5" t="s">
        <v>12</v>
      </c>
      <c r="F3" s="6">
        <f t="shared" si="1"/>
        <v>0</v>
      </c>
      <c r="G3" s="4" t="s">
        <v>17</v>
      </c>
      <c r="H3" s="4">
        <v>33.0</v>
      </c>
      <c r="I3" s="4" t="s">
        <v>18</v>
      </c>
      <c r="J3" s="4" t="s">
        <v>19</v>
      </c>
    </row>
    <row r="4">
      <c r="A4" s="4" t="s">
        <v>20</v>
      </c>
      <c r="B4" s="4" t="s">
        <v>11</v>
      </c>
      <c r="C4" s="4">
        <v>0.0</v>
      </c>
      <c r="D4" s="4">
        <v>1.0</v>
      </c>
      <c r="E4" s="5" t="s">
        <v>12</v>
      </c>
      <c r="F4" s="6">
        <f t="shared" si="1"/>
        <v>0</v>
      </c>
      <c r="G4" s="4" t="s">
        <v>21</v>
      </c>
      <c r="H4" s="4">
        <v>98.0</v>
      </c>
      <c r="I4" s="4" t="s">
        <v>22</v>
      </c>
      <c r="J4" s="4" t="s">
        <v>23</v>
      </c>
    </row>
    <row r="5">
      <c r="A5" s="4" t="s">
        <v>24</v>
      </c>
      <c r="B5" s="4" t="s">
        <v>11</v>
      </c>
      <c r="C5" s="4">
        <v>0.0</v>
      </c>
      <c r="D5" s="4">
        <v>1.0</v>
      </c>
      <c r="E5" s="5" t="s">
        <v>12</v>
      </c>
      <c r="F5" s="6">
        <f t="shared" si="1"/>
        <v>0</v>
      </c>
      <c r="G5" s="4" t="s">
        <v>25</v>
      </c>
      <c r="H5" s="4">
        <v>18.0</v>
      </c>
      <c r="I5" s="4" t="s">
        <v>26</v>
      </c>
      <c r="J5" s="4" t="s">
        <v>27</v>
      </c>
    </row>
    <row r="6">
      <c r="A6" s="4" t="s">
        <v>28</v>
      </c>
      <c r="B6" s="4" t="s">
        <v>29</v>
      </c>
      <c r="C6" s="4">
        <v>0.0</v>
      </c>
      <c r="D6" s="4">
        <v>1.0</v>
      </c>
      <c r="E6" s="5" t="s">
        <v>12</v>
      </c>
      <c r="F6" s="6">
        <f t="shared" si="1"/>
        <v>0</v>
      </c>
      <c r="G6" s="4" t="s">
        <v>30</v>
      </c>
      <c r="H6" s="4">
        <v>6.0</v>
      </c>
      <c r="I6" s="4" t="s">
        <v>31</v>
      </c>
      <c r="J6" s="4" t="s">
        <v>32</v>
      </c>
    </row>
    <row r="7">
      <c r="A7" s="4" t="s">
        <v>33</v>
      </c>
      <c r="B7" s="4" t="s">
        <v>29</v>
      </c>
      <c r="C7" s="4">
        <v>0.0</v>
      </c>
      <c r="D7" s="4">
        <v>1.0</v>
      </c>
      <c r="E7" s="4" t="s">
        <v>12</v>
      </c>
      <c r="F7" s="6">
        <f t="shared" si="1"/>
        <v>0</v>
      </c>
      <c r="G7" s="4" t="s">
        <v>34</v>
      </c>
      <c r="H7" s="4">
        <v>5.0</v>
      </c>
      <c r="I7" s="4" t="s">
        <v>35</v>
      </c>
      <c r="J7" s="4" t="s">
        <v>36</v>
      </c>
    </row>
    <row r="8">
      <c r="A8" s="4" t="s">
        <v>37</v>
      </c>
      <c r="B8" s="4" t="s">
        <v>29</v>
      </c>
      <c r="C8" s="4">
        <v>0.0</v>
      </c>
      <c r="D8" s="4">
        <v>1.0</v>
      </c>
      <c r="E8" s="5" t="s">
        <v>12</v>
      </c>
      <c r="F8" s="6">
        <f t="shared" si="1"/>
        <v>0</v>
      </c>
      <c r="G8" s="4" t="s">
        <v>38</v>
      </c>
      <c r="H8" s="4">
        <v>12.0</v>
      </c>
      <c r="I8" s="4" t="s">
        <v>39</v>
      </c>
      <c r="J8" s="4" t="s">
        <v>40</v>
      </c>
    </row>
    <row r="9">
      <c r="A9" s="4" t="s">
        <v>41</v>
      </c>
      <c r="B9" s="4" t="s">
        <v>29</v>
      </c>
      <c r="C9" s="4">
        <v>0.0</v>
      </c>
      <c r="D9" s="4">
        <v>1.0</v>
      </c>
      <c r="E9" s="5" t="s">
        <v>12</v>
      </c>
      <c r="F9" s="6">
        <f t="shared" si="1"/>
        <v>0</v>
      </c>
      <c r="G9" s="4" t="s">
        <v>42</v>
      </c>
      <c r="H9" s="4">
        <v>90.0</v>
      </c>
      <c r="I9" s="4" t="s">
        <v>43</v>
      </c>
      <c r="J9" s="4" t="s">
        <v>44</v>
      </c>
    </row>
    <row r="10">
      <c r="A10" s="4" t="s">
        <v>45</v>
      </c>
      <c r="B10" s="4" t="s">
        <v>46</v>
      </c>
      <c r="C10" s="4">
        <v>0.0</v>
      </c>
      <c r="D10" s="4">
        <v>1.0</v>
      </c>
      <c r="E10" s="5" t="s">
        <v>12</v>
      </c>
      <c r="F10" s="6">
        <f t="shared" si="1"/>
        <v>0</v>
      </c>
      <c r="G10" s="4" t="s">
        <v>47</v>
      </c>
      <c r="H10" s="4">
        <v>194.0</v>
      </c>
      <c r="I10" s="4" t="s">
        <v>48</v>
      </c>
      <c r="J10" s="4" t="s">
        <v>49</v>
      </c>
    </row>
    <row r="11">
      <c r="A11" s="4" t="s">
        <v>50</v>
      </c>
      <c r="B11" s="4" t="s">
        <v>46</v>
      </c>
      <c r="C11" s="4">
        <v>0.0</v>
      </c>
      <c r="D11" s="4">
        <v>1.0</v>
      </c>
      <c r="E11" s="5" t="s">
        <v>12</v>
      </c>
      <c r="F11" s="6">
        <f t="shared" si="1"/>
        <v>0</v>
      </c>
      <c r="G11" s="4" t="s">
        <v>51</v>
      </c>
      <c r="H11" s="4">
        <v>64.0</v>
      </c>
      <c r="I11" s="4" t="s">
        <v>52</v>
      </c>
      <c r="J11" s="4" t="s">
        <v>53</v>
      </c>
    </row>
    <row r="12">
      <c r="A12" s="4" t="s">
        <v>54</v>
      </c>
      <c r="B12" s="4" t="s">
        <v>46</v>
      </c>
      <c r="C12" s="4">
        <v>0.0</v>
      </c>
      <c r="D12" s="4">
        <v>1.0</v>
      </c>
      <c r="E12" s="5" t="s">
        <v>12</v>
      </c>
      <c r="F12" s="6">
        <f t="shared" si="1"/>
        <v>0</v>
      </c>
      <c r="G12" s="4" t="s">
        <v>55</v>
      </c>
      <c r="H12" s="4">
        <v>85.0</v>
      </c>
      <c r="I12" s="4" t="s">
        <v>56</v>
      </c>
      <c r="J12" s="4" t="s">
        <v>57</v>
      </c>
    </row>
    <row r="13">
      <c r="A13" s="4" t="s">
        <v>58</v>
      </c>
      <c r="B13" s="4" t="s">
        <v>46</v>
      </c>
      <c r="C13" s="4">
        <v>0.0</v>
      </c>
      <c r="D13" s="4">
        <v>1.0</v>
      </c>
      <c r="E13" s="5" t="s">
        <v>12</v>
      </c>
      <c r="F13" s="6">
        <f t="shared" si="1"/>
        <v>0</v>
      </c>
      <c r="G13" s="4" t="s">
        <v>59</v>
      </c>
      <c r="H13" s="4">
        <v>71.0</v>
      </c>
      <c r="I13" s="4" t="s">
        <v>60</v>
      </c>
      <c r="J13" s="4" t="s">
        <v>61</v>
      </c>
    </row>
    <row r="14">
      <c r="A14" s="4" t="s">
        <v>62</v>
      </c>
      <c r="B14" s="4" t="s">
        <v>63</v>
      </c>
      <c r="C14" s="4">
        <v>0.0</v>
      </c>
      <c r="D14" s="4">
        <v>1.0</v>
      </c>
      <c r="E14" s="5" t="s">
        <v>12</v>
      </c>
      <c r="F14" s="6">
        <f t="shared" si="1"/>
        <v>0</v>
      </c>
      <c r="G14" s="4" t="s">
        <v>64</v>
      </c>
      <c r="H14" s="4">
        <v>149.0</v>
      </c>
      <c r="I14" s="4" t="s">
        <v>65</v>
      </c>
      <c r="J14" s="4" t="s">
        <v>66</v>
      </c>
    </row>
    <row r="15">
      <c r="A15" s="4" t="s">
        <v>67</v>
      </c>
      <c r="B15" s="4" t="s">
        <v>63</v>
      </c>
      <c r="C15" s="4">
        <v>0.0</v>
      </c>
      <c r="D15" s="4">
        <v>1.0</v>
      </c>
      <c r="E15" s="5" t="s">
        <v>12</v>
      </c>
      <c r="F15" s="6">
        <f t="shared" si="1"/>
        <v>0</v>
      </c>
      <c r="G15" s="4" t="s">
        <v>68</v>
      </c>
      <c r="H15" s="4">
        <v>194.0</v>
      </c>
      <c r="I15" s="4" t="s">
        <v>69</v>
      </c>
      <c r="J15" s="4" t="s">
        <v>70</v>
      </c>
    </row>
    <row r="16">
      <c r="A16" s="4" t="s">
        <v>71</v>
      </c>
      <c r="B16" s="4" t="s">
        <v>63</v>
      </c>
      <c r="C16" s="4">
        <v>0.0</v>
      </c>
      <c r="D16" s="4">
        <v>1.0</v>
      </c>
      <c r="E16" s="5" t="s">
        <v>12</v>
      </c>
      <c r="F16" s="6">
        <f t="shared" si="1"/>
        <v>0</v>
      </c>
      <c r="G16" s="4" t="s">
        <v>72</v>
      </c>
      <c r="H16" s="4">
        <v>335.0</v>
      </c>
      <c r="I16" s="4" t="s">
        <v>73</v>
      </c>
      <c r="J16" s="4" t="s">
        <v>74</v>
      </c>
    </row>
    <row r="17">
      <c r="A17" s="4" t="s">
        <v>75</v>
      </c>
      <c r="B17" s="4" t="s">
        <v>63</v>
      </c>
      <c r="C17" s="4">
        <v>0.0</v>
      </c>
      <c r="D17" s="4">
        <v>1.0</v>
      </c>
      <c r="E17" s="5" t="s">
        <v>12</v>
      </c>
      <c r="F17" s="6">
        <f t="shared" si="1"/>
        <v>0</v>
      </c>
      <c r="G17" s="4" t="s">
        <v>76</v>
      </c>
      <c r="H17" s="4">
        <v>64.0</v>
      </c>
      <c r="I17" s="4" t="s">
        <v>77</v>
      </c>
      <c r="J17" s="4" t="s">
        <v>78</v>
      </c>
    </row>
    <row r="18">
      <c r="A18" s="4" t="s">
        <v>79</v>
      </c>
      <c r="B18" s="4" t="s">
        <v>80</v>
      </c>
      <c r="C18" s="4">
        <v>0.0</v>
      </c>
      <c r="D18" s="4">
        <v>1.0</v>
      </c>
      <c r="E18" s="5" t="s">
        <v>12</v>
      </c>
      <c r="F18" s="6">
        <f t="shared" si="1"/>
        <v>0</v>
      </c>
      <c r="G18" s="4" t="s">
        <v>81</v>
      </c>
      <c r="H18" s="4">
        <v>31.0</v>
      </c>
      <c r="I18" s="4" t="s">
        <v>82</v>
      </c>
      <c r="J18" s="4" t="s">
        <v>83</v>
      </c>
    </row>
    <row r="19">
      <c r="A19" s="4" t="s">
        <v>84</v>
      </c>
      <c r="B19" s="4" t="s">
        <v>80</v>
      </c>
      <c r="C19" s="4">
        <v>0.0</v>
      </c>
      <c r="D19" s="4">
        <v>1.0</v>
      </c>
      <c r="E19" s="5" t="s">
        <v>12</v>
      </c>
      <c r="F19" s="6">
        <f t="shared" si="1"/>
        <v>0</v>
      </c>
      <c r="G19" s="4" t="s">
        <v>85</v>
      </c>
      <c r="H19" s="4">
        <v>80.0</v>
      </c>
      <c r="I19" s="4" t="s">
        <v>86</v>
      </c>
      <c r="J19" s="4" t="s">
        <v>87</v>
      </c>
    </row>
    <row r="20">
      <c r="A20" s="4" t="s">
        <v>88</v>
      </c>
      <c r="B20" s="4" t="s">
        <v>80</v>
      </c>
      <c r="C20" s="4">
        <v>0.0</v>
      </c>
      <c r="D20" s="4">
        <v>1.0</v>
      </c>
      <c r="E20" s="5" t="s">
        <v>12</v>
      </c>
      <c r="F20" s="6">
        <f t="shared" si="1"/>
        <v>0</v>
      </c>
      <c r="G20" s="4" t="s">
        <v>89</v>
      </c>
      <c r="H20" s="4">
        <v>56.0</v>
      </c>
      <c r="I20" s="4" t="s">
        <v>90</v>
      </c>
      <c r="J20" s="4" t="s">
        <v>91</v>
      </c>
    </row>
    <row r="21">
      <c r="A21" s="4" t="s">
        <v>92</v>
      </c>
      <c r="B21" s="4" t="s">
        <v>80</v>
      </c>
      <c r="C21" s="4">
        <v>0.0</v>
      </c>
      <c r="D21" s="4">
        <v>1.0</v>
      </c>
      <c r="E21" s="5" t="s">
        <v>12</v>
      </c>
      <c r="F21" s="6">
        <f t="shared" si="1"/>
        <v>0</v>
      </c>
      <c r="G21" s="4" t="s">
        <v>93</v>
      </c>
      <c r="H21" s="4">
        <v>67.0</v>
      </c>
      <c r="I21" s="4" t="s">
        <v>94</v>
      </c>
      <c r="J21" s="4" t="s">
        <v>95</v>
      </c>
    </row>
    <row r="22">
      <c r="A22" s="4" t="s">
        <v>96</v>
      </c>
      <c r="B22" s="4" t="s">
        <v>97</v>
      </c>
      <c r="C22" s="4">
        <v>0.0</v>
      </c>
      <c r="D22" s="4">
        <v>1.0</v>
      </c>
      <c r="E22" s="5" t="s">
        <v>12</v>
      </c>
      <c r="F22" s="6">
        <f t="shared" si="1"/>
        <v>0</v>
      </c>
      <c r="G22" s="4" t="s">
        <v>98</v>
      </c>
      <c r="H22" s="4">
        <v>32.0</v>
      </c>
      <c r="I22" s="4" t="s">
        <v>99</v>
      </c>
      <c r="J22" s="4" t="s">
        <v>100</v>
      </c>
    </row>
    <row r="23">
      <c r="A23" s="4" t="s">
        <v>101</v>
      </c>
      <c r="B23" s="4" t="s">
        <v>97</v>
      </c>
      <c r="C23" s="4">
        <v>0.0</v>
      </c>
      <c r="D23" s="4">
        <v>1.0</v>
      </c>
      <c r="E23" s="5" t="s">
        <v>12</v>
      </c>
      <c r="F23" s="6">
        <f t="shared" si="1"/>
        <v>0</v>
      </c>
      <c r="G23" s="4" t="s">
        <v>102</v>
      </c>
      <c r="H23" s="4">
        <v>18.0</v>
      </c>
      <c r="I23" s="4" t="s">
        <v>103</v>
      </c>
      <c r="J23" s="4" t="s">
        <v>104</v>
      </c>
    </row>
    <row r="24">
      <c r="A24" s="4" t="s">
        <v>105</v>
      </c>
      <c r="B24" s="4" t="s">
        <v>97</v>
      </c>
      <c r="C24" s="4">
        <v>0.0</v>
      </c>
      <c r="D24" s="4">
        <v>1.0</v>
      </c>
      <c r="E24" s="5" t="s">
        <v>12</v>
      </c>
      <c r="F24" s="6">
        <f t="shared" si="1"/>
        <v>0</v>
      </c>
      <c r="G24" s="4" t="s">
        <v>106</v>
      </c>
      <c r="H24" s="4">
        <v>36.0</v>
      </c>
      <c r="I24" s="4" t="s">
        <v>107</v>
      </c>
      <c r="J24" s="4" t="s">
        <v>108</v>
      </c>
    </row>
    <row r="25">
      <c r="A25" s="4" t="s">
        <v>109</v>
      </c>
      <c r="B25" s="4" t="s">
        <v>97</v>
      </c>
      <c r="C25" s="4">
        <v>0.0</v>
      </c>
      <c r="D25" s="4">
        <v>1.0</v>
      </c>
      <c r="E25" s="5" t="s">
        <v>12</v>
      </c>
      <c r="F25" s="6">
        <f t="shared" si="1"/>
        <v>0</v>
      </c>
      <c r="G25" s="4" t="s">
        <v>110</v>
      </c>
      <c r="H25" s="4">
        <v>5.0</v>
      </c>
      <c r="I25" s="4" t="s">
        <v>111</v>
      </c>
      <c r="J25" s="4" t="s">
        <v>112</v>
      </c>
    </row>
    <row r="26">
      <c r="A26" s="4" t="s">
        <v>113</v>
      </c>
      <c r="B26" s="4" t="s">
        <v>114</v>
      </c>
      <c r="C26" s="4">
        <v>0.0</v>
      </c>
      <c r="D26" s="4">
        <v>1.0</v>
      </c>
      <c r="E26" s="5" t="s">
        <v>12</v>
      </c>
      <c r="F26" s="6">
        <f t="shared" si="1"/>
        <v>0</v>
      </c>
      <c r="G26" s="4" t="s">
        <v>115</v>
      </c>
      <c r="H26" s="4">
        <v>69.0</v>
      </c>
      <c r="I26" s="4" t="s">
        <v>116</v>
      </c>
      <c r="J26" s="4" t="s">
        <v>117</v>
      </c>
    </row>
    <row r="27">
      <c r="A27" s="4" t="s">
        <v>118</v>
      </c>
      <c r="B27" s="4" t="s">
        <v>114</v>
      </c>
      <c r="C27" s="4">
        <v>0.0</v>
      </c>
      <c r="D27" s="4">
        <v>1.0</v>
      </c>
      <c r="E27" s="5" t="s">
        <v>12</v>
      </c>
      <c r="F27" s="6">
        <f t="shared" si="1"/>
        <v>0</v>
      </c>
      <c r="G27" s="4" t="s">
        <v>119</v>
      </c>
      <c r="H27" s="4">
        <v>26.0</v>
      </c>
      <c r="I27" s="4" t="s">
        <v>120</v>
      </c>
      <c r="J27" s="4" t="s">
        <v>121</v>
      </c>
    </row>
    <row r="28">
      <c r="A28" s="4" t="s">
        <v>122</v>
      </c>
      <c r="B28" s="4" t="s">
        <v>114</v>
      </c>
      <c r="C28" s="4">
        <v>0.0</v>
      </c>
      <c r="D28" s="4">
        <v>1.0</v>
      </c>
      <c r="E28" s="5" t="s">
        <v>12</v>
      </c>
      <c r="F28" s="6">
        <f t="shared" si="1"/>
        <v>0</v>
      </c>
      <c r="G28" s="4" t="s">
        <v>123</v>
      </c>
      <c r="H28" s="4">
        <v>13.0</v>
      </c>
      <c r="I28" s="4" t="s">
        <v>124</v>
      </c>
      <c r="J28" s="4" t="s">
        <v>125</v>
      </c>
    </row>
    <row r="29">
      <c r="A29" s="4" t="s">
        <v>126</v>
      </c>
      <c r="B29" s="4" t="s">
        <v>114</v>
      </c>
      <c r="C29" s="4">
        <v>0.0</v>
      </c>
      <c r="D29" s="4">
        <v>1.0</v>
      </c>
      <c r="E29" s="5" t="s">
        <v>12</v>
      </c>
      <c r="F29" s="6">
        <f t="shared" si="1"/>
        <v>0</v>
      </c>
      <c r="G29" s="4" t="s">
        <v>127</v>
      </c>
      <c r="H29" s="4">
        <v>253.0</v>
      </c>
      <c r="I29" s="4" t="s">
        <v>128</v>
      </c>
      <c r="J29" s="4" t="s">
        <v>129</v>
      </c>
    </row>
    <row r="30">
      <c r="A30" s="4" t="s">
        <v>130</v>
      </c>
      <c r="B30" s="4" t="s">
        <v>131</v>
      </c>
      <c r="C30" s="4">
        <v>0.0</v>
      </c>
      <c r="D30" s="4">
        <v>1.0</v>
      </c>
      <c r="E30" s="5" t="s">
        <v>12</v>
      </c>
      <c r="F30" s="6">
        <f t="shared" si="1"/>
        <v>0</v>
      </c>
      <c r="G30" s="4" t="s">
        <v>132</v>
      </c>
      <c r="H30" s="4">
        <v>6.0</v>
      </c>
      <c r="I30" s="4" t="s">
        <v>133</v>
      </c>
      <c r="J30" s="4" t="s">
        <v>134</v>
      </c>
    </row>
    <row r="31">
      <c r="A31" s="4" t="s">
        <v>135</v>
      </c>
      <c r="B31" s="4" t="s">
        <v>131</v>
      </c>
      <c r="C31" s="4">
        <v>0.0</v>
      </c>
      <c r="D31" s="4">
        <v>1.0</v>
      </c>
      <c r="E31" s="5" t="s">
        <v>12</v>
      </c>
      <c r="F31" s="6">
        <f t="shared" si="1"/>
        <v>0</v>
      </c>
      <c r="G31" s="4" t="s">
        <v>136</v>
      </c>
      <c r="H31" s="4">
        <v>106.0</v>
      </c>
      <c r="I31" s="4" t="s">
        <v>137</v>
      </c>
      <c r="J31" s="4" t="s">
        <v>138</v>
      </c>
    </row>
    <row r="32">
      <c r="A32" s="4" t="s">
        <v>139</v>
      </c>
      <c r="B32" s="4" t="s">
        <v>131</v>
      </c>
      <c r="C32" s="4">
        <v>0.0</v>
      </c>
      <c r="D32" s="4">
        <v>1.0</v>
      </c>
      <c r="E32" s="5" t="s">
        <v>12</v>
      </c>
      <c r="F32" s="6">
        <f t="shared" si="1"/>
        <v>0</v>
      </c>
      <c r="G32" s="4" t="s">
        <v>140</v>
      </c>
      <c r="H32" s="4">
        <v>80.0</v>
      </c>
      <c r="I32" s="4" t="s">
        <v>141</v>
      </c>
      <c r="J32" s="4" t="s">
        <v>142</v>
      </c>
    </row>
    <row r="33">
      <c r="A33" s="4" t="s">
        <v>143</v>
      </c>
      <c r="B33" s="4" t="s">
        <v>131</v>
      </c>
      <c r="C33" s="4">
        <v>0.0</v>
      </c>
      <c r="D33" s="4">
        <v>1.0</v>
      </c>
      <c r="E33" s="5" t="s">
        <v>12</v>
      </c>
      <c r="F33" s="6">
        <f t="shared" si="1"/>
        <v>0</v>
      </c>
      <c r="G33" s="4" t="s">
        <v>144</v>
      </c>
      <c r="H33" s="4">
        <v>30.0</v>
      </c>
      <c r="I33" s="4" t="s">
        <v>145</v>
      </c>
      <c r="J33" s="4" t="s">
        <v>146</v>
      </c>
    </row>
    <row r="34">
      <c r="A34" s="4" t="s">
        <v>147</v>
      </c>
      <c r="B34" s="4" t="s">
        <v>148</v>
      </c>
      <c r="C34" s="4">
        <v>0.0</v>
      </c>
      <c r="D34" s="4">
        <v>1.0</v>
      </c>
      <c r="E34" s="5" t="s">
        <v>12</v>
      </c>
      <c r="F34" s="6">
        <f t="shared" si="1"/>
        <v>0</v>
      </c>
      <c r="G34" s="4" t="s">
        <v>149</v>
      </c>
      <c r="H34" s="4">
        <v>61.0</v>
      </c>
      <c r="I34" s="4" t="s">
        <v>150</v>
      </c>
      <c r="J34" s="4" t="s">
        <v>151</v>
      </c>
    </row>
    <row r="35">
      <c r="A35" s="4" t="s">
        <v>152</v>
      </c>
      <c r="B35" s="4" t="s">
        <v>148</v>
      </c>
      <c r="C35" s="4">
        <v>0.0</v>
      </c>
      <c r="D35" s="4">
        <v>1.0</v>
      </c>
      <c r="E35" s="5" t="s">
        <v>12</v>
      </c>
      <c r="F35" s="6">
        <f t="shared" si="1"/>
        <v>0</v>
      </c>
      <c r="G35" s="4" t="s">
        <v>153</v>
      </c>
      <c r="H35" s="4">
        <v>84.0</v>
      </c>
      <c r="I35" s="4" t="s">
        <v>154</v>
      </c>
      <c r="J35" s="4" t="s">
        <v>155</v>
      </c>
    </row>
    <row r="36">
      <c r="A36" s="4" t="s">
        <v>156</v>
      </c>
      <c r="B36" s="4" t="s">
        <v>148</v>
      </c>
      <c r="C36" s="4">
        <v>0.0</v>
      </c>
      <c r="D36" s="4">
        <v>1.0</v>
      </c>
      <c r="E36" s="5" t="s">
        <v>12</v>
      </c>
      <c r="F36" s="6">
        <f t="shared" si="1"/>
        <v>0</v>
      </c>
      <c r="G36" s="4" t="s">
        <v>157</v>
      </c>
      <c r="H36" s="4">
        <v>74.0</v>
      </c>
      <c r="I36" s="4" t="s">
        <v>158</v>
      </c>
      <c r="J36" s="4" t="s">
        <v>159</v>
      </c>
    </row>
    <row r="37">
      <c r="A37" s="4" t="s">
        <v>160</v>
      </c>
      <c r="B37" s="4" t="s">
        <v>148</v>
      </c>
      <c r="C37" s="4">
        <v>0.0</v>
      </c>
      <c r="D37" s="4">
        <v>1.0</v>
      </c>
      <c r="E37" s="5" t="s">
        <v>12</v>
      </c>
      <c r="F37" s="6">
        <f t="shared" si="1"/>
        <v>0</v>
      </c>
      <c r="G37" s="4" t="s">
        <v>161</v>
      </c>
      <c r="H37" s="4">
        <v>248.0</v>
      </c>
      <c r="I37" s="4" t="s">
        <v>162</v>
      </c>
      <c r="J37" s="4" t="s">
        <v>163</v>
      </c>
    </row>
    <row r="38">
      <c r="A38" s="4" t="s">
        <v>164</v>
      </c>
      <c r="B38" s="4" t="s">
        <v>165</v>
      </c>
      <c r="C38" s="4">
        <v>0.0</v>
      </c>
      <c r="D38" s="4">
        <v>1.0</v>
      </c>
      <c r="E38" s="5" t="s">
        <v>12</v>
      </c>
      <c r="F38" s="6">
        <f t="shared" si="1"/>
        <v>0</v>
      </c>
      <c r="G38" s="4" t="s">
        <v>166</v>
      </c>
      <c r="H38" s="4">
        <v>50.0</v>
      </c>
      <c r="I38" s="4" t="s">
        <v>167</v>
      </c>
      <c r="J38" s="4" t="s">
        <v>168</v>
      </c>
    </row>
    <row r="39">
      <c r="A39" s="4" t="s">
        <v>169</v>
      </c>
      <c r="B39" s="4" t="s">
        <v>165</v>
      </c>
      <c r="C39" s="4">
        <v>0.0</v>
      </c>
      <c r="D39" s="4">
        <v>1.0</v>
      </c>
      <c r="E39" s="5" t="s">
        <v>12</v>
      </c>
      <c r="F39" s="6">
        <f t="shared" si="1"/>
        <v>0</v>
      </c>
      <c r="G39" s="4" t="s">
        <v>170</v>
      </c>
      <c r="H39" s="4">
        <v>8.0</v>
      </c>
      <c r="I39" s="4" t="s">
        <v>171</v>
      </c>
      <c r="J39" s="4" t="s">
        <v>172</v>
      </c>
    </row>
    <row r="40">
      <c r="A40" s="4" t="s">
        <v>173</v>
      </c>
      <c r="B40" s="4" t="s">
        <v>165</v>
      </c>
      <c r="C40" s="4">
        <v>0.0</v>
      </c>
      <c r="D40" s="4">
        <v>1.0</v>
      </c>
      <c r="E40" s="5" t="s">
        <v>12</v>
      </c>
      <c r="F40" s="6">
        <f t="shared" si="1"/>
        <v>0</v>
      </c>
      <c r="G40" s="4" t="s">
        <v>174</v>
      </c>
      <c r="H40" s="4">
        <v>54.0</v>
      </c>
      <c r="I40" s="4" t="s">
        <v>175</v>
      </c>
      <c r="J40" s="4" t="s">
        <v>176</v>
      </c>
    </row>
    <row r="41">
      <c r="A41" s="4" t="s">
        <v>177</v>
      </c>
      <c r="B41" s="4" t="s">
        <v>165</v>
      </c>
      <c r="C41" s="4">
        <v>0.0</v>
      </c>
      <c r="D41" s="4">
        <v>1.0</v>
      </c>
      <c r="E41" s="5" t="s">
        <v>12</v>
      </c>
      <c r="F41" s="6">
        <f t="shared" si="1"/>
        <v>0</v>
      </c>
      <c r="G41" s="4" t="s">
        <v>178</v>
      </c>
      <c r="H41" s="4">
        <v>18.0</v>
      </c>
      <c r="I41" s="4" t="s">
        <v>179</v>
      </c>
      <c r="J41" s="4" t="s">
        <v>180</v>
      </c>
    </row>
    <row r="42">
      <c r="A42" s="4" t="s">
        <v>181</v>
      </c>
      <c r="B42" s="4" t="s">
        <v>182</v>
      </c>
      <c r="C42" s="4">
        <v>0.0</v>
      </c>
      <c r="D42" s="4">
        <v>1.0</v>
      </c>
      <c r="F42" s="7">
        <v>0.0</v>
      </c>
      <c r="G42" s="4" t="s">
        <v>183</v>
      </c>
      <c r="H42" s="4">
        <v>12.0</v>
      </c>
      <c r="I42" s="4" t="s">
        <v>184</v>
      </c>
      <c r="J42" s="4" t="s">
        <v>185</v>
      </c>
    </row>
    <row r="43">
      <c r="A43" s="4" t="s">
        <v>186</v>
      </c>
      <c r="B43" s="4" t="s">
        <v>182</v>
      </c>
      <c r="C43" s="4">
        <v>0.0</v>
      </c>
      <c r="D43" s="4">
        <v>1.0</v>
      </c>
      <c r="E43" s="5" t="s">
        <v>12</v>
      </c>
      <c r="F43" s="6">
        <f t="shared" ref="F43:F105" si="2">IF(E43="-", 0, LEN(E43)-LEN(SUBSTITUTE(E43, CHAR(10), ""))+1)</f>
        <v>0</v>
      </c>
      <c r="G43" s="4" t="s">
        <v>187</v>
      </c>
      <c r="H43" s="4">
        <v>38.0</v>
      </c>
      <c r="I43" s="4" t="s">
        <v>188</v>
      </c>
      <c r="J43" s="4" t="s">
        <v>189</v>
      </c>
    </row>
    <row r="44">
      <c r="A44" s="4" t="s">
        <v>190</v>
      </c>
      <c r="B44" s="4" t="s">
        <v>182</v>
      </c>
      <c r="C44" s="4">
        <v>0.0</v>
      </c>
      <c r="D44" s="4">
        <v>1.0</v>
      </c>
      <c r="E44" s="5" t="s">
        <v>12</v>
      </c>
      <c r="F44" s="6">
        <f t="shared" si="2"/>
        <v>0</v>
      </c>
      <c r="G44" s="4" t="s">
        <v>191</v>
      </c>
      <c r="H44" s="4">
        <v>21.0</v>
      </c>
      <c r="I44" s="4" t="s">
        <v>192</v>
      </c>
      <c r="J44" s="4" t="s">
        <v>193</v>
      </c>
    </row>
    <row r="45">
      <c r="A45" s="4" t="s">
        <v>194</v>
      </c>
      <c r="B45" s="4" t="s">
        <v>182</v>
      </c>
      <c r="C45" s="4">
        <v>0.0</v>
      </c>
      <c r="D45" s="4">
        <v>1.0</v>
      </c>
      <c r="E45" s="5" t="s">
        <v>12</v>
      </c>
      <c r="F45" s="6">
        <f t="shared" si="2"/>
        <v>0</v>
      </c>
      <c r="G45" s="4" t="s">
        <v>195</v>
      </c>
      <c r="H45" s="4">
        <v>7.0</v>
      </c>
      <c r="I45" s="4" t="s">
        <v>196</v>
      </c>
      <c r="J45" s="4" t="s">
        <v>197</v>
      </c>
    </row>
    <row r="46">
      <c r="A46" s="4" t="s">
        <v>198</v>
      </c>
      <c r="B46" s="4" t="s">
        <v>199</v>
      </c>
      <c r="C46" s="4">
        <v>0.0</v>
      </c>
      <c r="D46" s="4">
        <v>1.0</v>
      </c>
      <c r="E46" s="5" t="s">
        <v>12</v>
      </c>
      <c r="F46" s="6">
        <f t="shared" si="2"/>
        <v>0</v>
      </c>
      <c r="G46" s="4" t="s">
        <v>200</v>
      </c>
      <c r="H46" s="4">
        <v>27.0</v>
      </c>
      <c r="I46" s="4" t="s">
        <v>201</v>
      </c>
      <c r="J46" s="4" t="s">
        <v>202</v>
      </c>
    </row>
    <row r="47">
      <c r="A47" s="4" t="s">
        <v>203</v>
      </c>
      <c r="B47" s="4" t="s">
        <v>199</v>
      </c>
      <c r="C47" s="4">
        <v>0.0</v>
      </c>
      <c r="D47" s="4">
        <v>1.0</v>
      </c>
      <c r="E47" s="5" t="s">
        <v>12</v>
      </c>
      <c r="F47" s="6">
        <f t="shared" si="2"/>
        <v>0</v>
      </c>
      <c r="G47" s="4" t="s">
        <v>204</v>
      </c>
      <c r="H47" s="4">
        <v>14.0</v>
      </c>
      <c r="I47" s="4" t="s">
        <v>205</v>
      </c>
      <c r="J47" s="4" t="s">
        <v>206</v>
      </c>
    </row>
    <row r="48">
      <c r="A48" s="4" t="s">
        <v>207</v>
      </c>
      <c r="B48" s="4" t="s">
        <v>199</v>
      </c>
      <c r="C48" s="4">
        <v>0.0</v>
      </c>
      <c r="D48" s="4">
        <v>1.0</v>
      </c>
      <c r="E48" s="5" t="s">
        <v>12</v>
      </c>
      <c r="F48" s="6">
        <f t="shared" si="2"/>
        <v>0</v>
      </c>
      <c r="G48" s="4" t="s">
        <v>208</v>
      </c>
      <c r="H48" s="4">
        <v>18.0</v>
      </c>
      <c r="I48" s="4" t="s">
        <v>209</v>
      </c>
      <c r="J48" s="4" t="s">
        <v>210</v>
      </c>
    </row>
    <row r="49">
      <c r="A49" s="4" t="s">
        <v>211</v>
      </c>
      <c r="B49" s="4" t="s">
        <v>199</v>
      </c>
      <c r="C49" s="4">
        <v>0.0</v>
      </c>
      <c r="D49" s="4">
        <v>1.0</v>
      </c>
      <c r="E49" s="5" t="s">
        <v>12</v>
      </c>
      <c r="F49" s="6">
        <f t="shared" si="2"/>
        <v>0</v>
      </c>
      <c r="G49" s="4" t="s">
        <v>212</v>
      </c>
      <c r="H49" s="4">
        <v>38.0</v>
      </c>
      <c r="I49" s="4" t="s">
        <v>213</v>
      </c>
      <c r="J49" s="4" t="s">
        <v>214</v>
      </c>
    </row>
    <row r="50">
      <c r="A50" s="4" t="s">
        <v>215</v>
      </c>
      <c r="B50" s="4" t="s">
        <v>216</v>
      </c>
      <c r="C50" s="4">
        <v>0.0</v>
      </c>
      <c r="D50" s="4">
        <v>1.0</v>
      </c>
      <c r="E50" s="5" t="s">
        <v>12</v>
      </c>
      <c r="F50" s="6">
        <f t="shared" si="2"/>
        <v>0</v>
      </c>
      <c r="G50" s="4" t="s">
        <v>217</v>
      </c>
      <c r="H50" s="4">
        <v>13.0</v>
      </c>
      <c r="I50" s="4" t="s">
        <v>218</v>
      </c>
      <c r="J50" s="4" t="s">
        <v>219</v>
      </c>
    </row>
    <row r="51">
      <c r="A51" s="4" t="s">
        <v>220</v>
      </c>
      <c r="B51" s="4" t="s">
        <v>216</v>
      </c>
      <c r="C51" s="4">
        <v>0.0</v>
      </c>
      <c r="D51" s="4">
        <v>1.0</v>
      </c>
      <c r="E51" s="5" t="s">
        <v>12</v>
      </c>
      <c r="F51" s="6">
        <f t="shared" si="2"/>
        <v>0</v>
      </c>
      <c r="G51" s="4" t="s">
        <v>221</v>
      </c>
      <c r="H51" s="4">
        <v>34.0</v>
      </c>
      <c r="I51" s="4" t="s">
        <v>222</v>
      </c>
      <c r="J51" s="4" t="s">
        <v>223</v>
      </c>
    </row>
    <row r="52">
      <c r="A52" s="4" t="s">
        <v>224</v>
      </c>
      <c r="B52" s="4" t="s">
        <v>216</v>
      </c>
      <c r="C52" s="4">
        <v>0.0</v>
      </c>
      <c r="D52" s="4">
        <v>1.0</v>
      </c>
      <c r="E52" s="5" t="s">
        <v>12</v>
      </c>
      <c r="F52" s="6">
        <f t="shared" si="2"/>
        <v>0</v>
      </c>
      <c r="G52" s="4" t="s">
        <v>225</v>
      </c>
      <c r="H52" s="4">
        <v>11.0</v>
      </c>
      <c r="I52" s="4" t="s">
        <v>226</v>
      </c>
      <c r="J52" s="4" t="s">
        <v>227</v>
      </c>
    </row>
    <row r="53">
      <c r="A53" s="4" t="s">
        <v>228</v>
      </c>
      <c r="B53" s="4" t="s">
        <v>216</v>
      </c>
      <c r="C53" s="4">
        <v>0.0</v>
      </c>
      <c r="D53" s="4">
        <v>1.0</v>
      </c>
      <c r="E53" s="5" t="s">
        <v>12</v>
      </c>
      <c r="F53" s="6">
        <f t="shared" si="2"/>
        <v>0</v>
      </c>
      <c r="G53" s="4" t="s">
        <v>229</v>
      </c>
      <c r="H53" s="4">
        <v>15.0</v>
      </c>
      <c r="I53" s="4" t="s">
        <v>230</v>
      </c>
      <c r="J53" s="4" t="s">
        <v>231</v>
      </c>
    </row>
    <row r="54">
      <c r="A54" s="4" t="s">
        <v>232</v>
      </c>
      <c r="B54" s="4" t="s">
        <v>233</v>
      </c>
      <c r="C54" s="4">
        <v>0.0</v>
      </c>
      <c r="D54" s="4">
        <v>1.0</v>
      </c>
      <c r="E54" s="5" t="s">
        <v>12</v>
      </c>
      <c r="F54" s="6">
        <f t="shared" si="2"/>
        <v>0</v>
      </c>
      <c r="G54" s="4" t="s">
        <v>234</v>
      </c>
      <c r="H54" s="4">
        <v>50.0</v>
      </c>
      <c r="I54" s="4" t="s">
        <v>235</v>
      </c>
      <c r="J54" s="4" t="s">
        <v>236</v>
      </c>
    </row>
    <row r="55">
      <c r="A55" s="4" t="s">
        <v>237</v>
      </c>
      <c r="B55" s="4" t="s">
        <v>233</v>
      </c>
      <c r="C55" s="4">
        <v>0.0</v>
      </c>
      <c r="D55" s="4">
        <v>1.0</v>
      </c>
      <c r="E55" s="5" t="s">
        <v>12</v>
      </c>
      <c r="F55" s="6">
        <f t="shared" si="2"/>
        <v>0</v>
      </c>
      <c r="G55" s="4" t="s">
        <v>238</v>
      </c>
      <c r="H55" s="4">
        <v>24.0</v>
      </c>
      <c r="I55" s="4" t="s">
        <v>239</v>
      </c>
      <c r="J55" s="4" t="s">
        <v>240</v>
      </c>
    </row>
    <row r="56">
      <c r="A56" s="4" t="s">
        <v>241</v>
      </c>
      <c r="B56" s="4" t="s">
        <v>233</v>
      </c>
      <c r="C56" s="4">
        <v>0.0</v>
      </c>
      <c r="D56" s="4">
        <v>1.0</v>
      </c>
      <c r="E56" s="5" t="s">
        <v>12</v>
      </c>
      <c r="F56" s="6">
        <f t="shared" si="2"/>
        <v>0</v>
      </c>
      <c r="G56" s="4" t="s">
        <v>242</v>
      </c>
      <c r="H56" s="4">
        <v>72.0</v>
      </c>
      <c r="I56" s="4" t="s">
        <v>243</v>
      </c>
      <c r="J56" s="4" t="s">
        <v>244</v>
      </c>
    </row>
    <row r="57">
      <c r="A57" s="4" t="s">
        <v>245</v>
      </c>
      <c r="B57" s="4" t="s">
        <v>233</v>
      </c>
      <c r="C57" s="4">
        <v>0.0</v>
      </c>
      <c r="D57" s="4">
        <v>1.0</v>
      </c>
      <c r="E57" s="5" t="s">
        <v>12</v>
      </c>
      <c r="F57" s="6">
        <f t="shared" si="2"/>
        <v>0</v>
      </c>
      <c r="G57" s="4" t="s">
        <v>246</v>
      </c>
      <c r="H57" s="4">
        <v>56.0</v>
      </c>
      <c r="I57" s="4" t="s">
        <v>247</v>
      </c>
      <c r="J57" s="4" t="s">
        <v>248</v>
      </c>
    </row>
    <row r="58">
      <c r="A58" s="4" t="s">
        <v>249</v>
      </c>
      <c r="B58" s="4" t="s">
        <v>250</v>
      </c>
      <c r="C58" s="4">
        <v>0.0</v>
      </c>
      <c r="D58" s="4">
        <v>1.0</v>
      </c>
      <c r="E58" s="5" t="s">
        <v>12</v>
      </c>
      <c r="F58" s="6">
        <f t="shared" si="2"/>
        <v>0</v>
      </c>
      <c r="G58" s="4" t="s">
        <v>251</v>
      </c>
      <c r="H58" s="4">
        <v>18.0</v>
      </c>
      <c r="I58" s="4" t="s">
        <v>252</v>
      </c>
      <c r="J58" s="4" t="s">
        <v>253</v>
      </c>
    </row>
    <row r="59">
      <c r="A59" s="4" t="s">
        <v>254</v>
      </c>
      <c r="B59" s="4" t="s">
        <v>250</v>
      </c>
      <c r="C59" s="4">
        <v>0.0</v>
      </c>
      <c r="D59" s="4">
        <v>1.0</v>
      </c>
      <c r="E59" s="5" t="s">
        <v>12</v>
      </c>
      <c r="F59" s="6">
        <f t="shared" si="2"/>
        <v>0</v>
      </c>
      <c r="G59" s="4" t="s">
        <v>255</v>
      </c>
      <c r="H59" s="4">
        <v>18.0</v>
      </c>
      <c r="I59" s="4" t="s">
        <v>256</v>
      </c>
      <c r="J59" s="4" t="s">
        <v>257</v>
      </c>
    </row>
    <row r="60">
      <c r="A60" s="4" t="s">
        <v>258</v>
      </c>
      <c r="B60" s="4" t="s">
        <v>250</v>
      </c>
      <c r="C60" s="4">
        <v>0.0</v>
      </c>
      <c r="D60" s="4">
        <v>1.0</v>
      </c>
      <c r="E60" s="5" t="s">
        <v>12</v>
      </c>
      <c r="F60" s="6">
        <f t="shared" si="2"/>
        <v>0</v>
      </c>
      <c r="G60" s="4" t="s">
        <v>259</v>
      </c>
      <c r="H60" s="4">
        <v>11.0</v>
      </c>
      <c r="I60" s="4" t="s">
        <v>260</v>
      </c>
      <c r="J60" s="4" t="s">
        <v>261</v>
      </c>
    </row>
    <row r="61">
      <c r="A61" s="4" t="s">
        <v>262</v>
      </c>
      <c r="B61" s="4" t="s">
        <v>250</v>
      </c>
      <c r="C61" s="4">
        <v>0.0</v>
      </c>
      <c r="D61" s="4">
        <v>1.0</v>
      </c>
      <c r="E61" s="5" t="s">
        <v>12</v>
      </c>
      <c r="F61" s="6">
        <f t="shared" si="2"/>
        <v>0</v>
      </c>
      <c r="G61" s="4" t="s">
        <v>263</v>
      </c>
      <c r="H61" s="4">
        <v>11.0</v>
      </c>
      <c r="I61" s="4" t="s">
        <v>264</v>
      </c>
      <c r="J61" s="4" t="s">
        <v>265</v>
      </c>
    </row>
    <row r="62">
      <c r="A62" s="4" t="s">
        <v>266</v>
      </c>
      <c r="B62" s="4" t="s">
        <v>267</v>
      </c>
      <c r="C62" s="4">
        <v>0.0</v>
      </c>
      <c r="D62" s="4">
        <v>1.0</v>
      </c>
      <c r="E62" s="5" t="s">
        <v>12</v>
      </c>
      <c r="F62" s="6">
        <f t="shared" si="2"/>
        <v>0</v>
      </c>
      <c r="G62" s="4" t="s">
        <v>268</v>
      </c>
      <c r="H62" s="4">
        <v>39.0</v>
      </c>
      <c r="I62" s="4" t="s">
        <v>269</v>
      </c>
      <c r="J62" s="4" t="s">
        <v>270</v>
      </c>
    </row>
    <row r="63">
      <c r="A63" s="4" t="s">
        <v>271</v>
      </c>
      <c r="B63" s="4" t="s">
        <v>267</v>
      </c>
      <c r="C63" s="4">
        <v>0.0</v>
      </c>
      <c r="D63" s="4">
        <v>1.0</v>
      </c>
      <c r="E63" s="5" t="s">
        <v>12</v>
      </c>
      <c r="F63" s="6">
        <f t="shared" si="2"/>
        <v>0</v>
      </c>
      <c r="G63" s="4" t="s">
        <v>272</v>
      </c>
      <c r="H63" s="4">
        <v>31.0</v>
      </c>
      <c r="I63" s="4" t="s">
        <v>273</v>
      </c>
      <c r="J63" s="4" t="s">
        <v>274</v>
      </c>
    </row>
    <row r="64">
      <c r="A64" s="4" t="s">
        <v>275</v>
      </c>
      <c r="B64" s="4" t="s">
        <v>267</v>
      </c>
      <c r="C64" s="4">
        <v>0.0</v>
      </c>
      <c r="D64" s="4">
        <v>1.0</v>
      </c>
      <c r="E64" s="5" t="s">
        <v>12</v>
      </c>
      <c r="F64" s="6">
        <f t="shared" si="2"/>
        <v>0</v>
      </c>
      <c r="G64" s="4" t="s">
        <v>276</v>
      </c>
      <c r="H64" s="4">
        <v>26.0</v>
      </c>
      <c r="I64" s="4" t="s">
        <v>277</v>
      </c>
      <c r="J64" s="4" t="s">
        <v>278</v>
      </c>
    </row>
    <row r="65">
      <c r="A65" s="4" t="s">
        <v>279</v>
      </c>
      <c r="B65" s="4" t="s">
        <v>267</v>
      </c>
      <c r="C65" s="4">
        <v>0.0</v>
      </c>
      <c r="D65" s="4">
        <v>1.0</v>
      </c>
      <c r="E65" s="5" t="s">
        <v>12</v>
      </c>
      <c r="F65" s="6">
        <f t="shared" si="2"/>
        <v>0</v>
      </c>
      <c r="G65" s="4" t="s">
        <v>280</v>
      </c>
      <c r="H65" s="4">
        <v>64.0</v>
      </c>
      <c r="I65" s="4" t="s">
        <v>281</v>
      </c>
      <c r="J65" s="4" t="s">
        <v>282</v>
      </c>
    </row>
    <row r="66">
      <c r="A66" s="4" t="s">
        <v>283</v>
      </c>
      <c r="B66" s="4" t="s">
        <v>284</v>
      </c>
      <c r="C66" s="4">
        <v>0.0</v>
      </c>
      <c r="D66" s="4">
        <v>1.0</v>
      </c>
      <c r="E66" s="5" t="s">
        <v>12</v>
      </c>
      <c r="F66" s="6">
        <f t="shared" si="2"/>
        <v>0</v>
      </c>
      <c r="G66" s="4" t="s">
        <v>285</v>
      </c>
      <c r="H66" s="4">
        <v>22.0</v>
      </c>
      <c r="I66" s="4" t="s">
        <v>286</v>
      </c>
      <c r="J66" s="4" t="s">
        <v>287</v>
      </c>
    </row>
    <row r="67">
      <c r="A67" s="4" t="s">
        <v>288</v>
      </c>
      <c r="B67" s="4" t="s">
        <v>284</v>
      </c>
      <c r="C67" s="4">
        <v>0.0</v>
      </c>
      <c r="D67" s="4">
        <v>1.0</v>
      </c>
      <c r="E67" s="5" t="s">
        <v>12</v>
      </c>
      <c r="F67" s="6">
        <f t="shared" si="2"/>
        <v>0</v>
      </c>
      <c r="G67" s="4" t="s">
        <v>289</v>
      </c>
      <c r="H67" s="4">
        <v>21.0</v>
      </c>
      <c r="I67" s="4" t="s">
        <v>290</v>
      </c>
      <c r="J67" s="4" t="s">
        <v>291</v>
      </c>
    </row>
    <row r="68">
      <c r="A68" s="4" t="s">
        <v>292</v>
      </c>
      <c r="B68" s="4" t="s">
        <v>284</v>
      </c>
      <c r="C68" s="4">
        <v>0.0</v>
      </c>
      <c r="D68" s="4">
        <v>1.0</v>
      </c>
      <c r="E68" s="5" t="s">
        <v>12</v>
      </c>
      <c r="F68" s="6">
        <f t="shared" si="2"/>
        <v>0</v>
      </c>
      <c r="G68" s="4" t="s">
        <v>293</v>
      </c>
      <c r="H68" s="4">
        <v>11.0</v>
      </c>
      <c r="I68" s="4" t="s">
        <v>294</v>
      </c>
      <c r="J68" s="4" t="s">
        <v>295</v>
      </c>
    </row>
    <row r="69">
      <c r="A69" s="4" t="s">
        <v>296</v>
      </c>
      <c r="B69" s="4" t="s">
        <v>284</v>
      </c>
      <c r="C69" s="4">
        <v>0.0</v>
      </c>
      <c r="D69" s="4">
        <v>1.0</v>
      </c>
      <c r="E69" s="5" t="s">
        <v>12</v>
      </c>
      <c r="F69" s="6">
        <f t="shared" si="2"/>
        <v>0</v>
      </c>
      <c r="G69" s="4" t="s">
        <v>297</v>
      </c>
      <c r="H69" s="4">
        <v>21.0</v>
      </c>
      <c r="I69" s="4" t="s">
        <v>298</v>
      </c>
      <c r="J69" s="4" t="s">
        <v>299</v>
      </c>
    </row>
    <row r="70">
      <c r="A70" s="4" t="s">
        <v>300</v>
      </c>
      <c r="B70" s="4" t="s">
        <v>301</v>
      </c>
      <c r="C70" s="4">
        <v>0.0</v>
      </c>
      <c r="D70" s="4">
        <v>1.0</v>
      </c>
      <c r="E70" s="5" t="s">
        <v>12</v>
      </c>
      <c r="F70" s="6">
        <f t="shared" si="2"/>
        <v>0</v>
      </c>
      <c r="G70" s="4" t="s">
        <v>302</v>
      </c>
      <c r="H70" s="4">
        <v>9.0</v>
      </c>
      <c r="I70" s="4" t="s">
        <v>303</v>
      </c>
      <c r="J70" s="4" t="s">
        <v>304</v>
      </c>
    </row>
    <row r="71">
      <c r="A71" s="4" t="s">
        <v>305</v>
      </c>
      <c r="B71" s="4" t="s">
        <v>301</v>
      </c>
      <c r="C71" s="4">
        <v>0.0</v>
      </c>
      <c r="D71" s="4">
        <v>1.0</v>
      </c>
      <c r="E71" s="5" t="s">
        <v>12</v>
      </c>
      <c r="F71" s="6">
        <f t="shared" si="2"/>
        <v>0</v>
      </c>
      <c r="G71" s="4" t="s">
        <v>306</v>
      </c>
      <c r="H71" s="4">
        <v>14.0</v>
      </c>
      <c r="I71" s="4" t="s">
        <v>307</v>
      </c>
      <c r="J71" s="4" t="s">
        <v>308</v>
      </c>
    </row>
    <row r="72">
      <c r="A72" s="4" t="s">
        <v>309</v>
      </c>
      <c r="B72" s="4" t="s">
        <v>301</v>
      </c>
      <c r="C72" s="4">
        <v>0.0</v>
      </c>
      <c r="D72" s="4">
        <v>1.0</v>
      </c>
      <c r="E72" s="5" t="s">
        <v>12</v>
      </c>
      <c r="F72" s="6">
        <f t="shared" si="2"/>
        <v>0</v>
      </c>
      <c r="G72" s="4" t="s">
        <v>310</v>
      </c>
      <c r="H72" s="4">
        <v>34.0</v>
      </c>
      <c r="I72" s="4" t="s">
        <v>311</v>
      </c>
      <c r="J72" s="4" t="s">
        <v>312</v>
      </c>
    </row>
    <row r="73">
      <c r="A73" s="4" t="s">
        <v>313</v>
      </c>
      <c r="B73" s="4" t="s">
        <v>301</v>
      </c>
      <c r="C73" s="4">
        <v>0.0</v>
      </c>
      <c r="D73" s="4">
        <v>1.0</v>
      </c>
      <c r="E73" s="5" t="s">
        <v>12</v>
      </c>
      <c r="F73" s="6">
        <f t="shared" si="2"/>
        <v>0</v>
      </c>
      <c r="G73" s="4" t="s">
        <v>314</v>
      </c>
      <c r="H73" s="4">
        <v>19.0</v>
      </c>
      <c r="I73" s="4" t="s">
        <v>315</v>
      </c>
      <c r="J73" s="4" t="s">
        <v>316</v>
      </c>
    </row>
    <row r="74">
      <c r="A74" s="4" t="s">
        <v>317</v>
      </c>
      <c r="B74" s="4" t="s">
        <v>318</v>
      </c>
      <c r="C74" s="4">
        <v>0.0</v>
      </c>
      <c r="D74" s="4">
        <v>1.0</v>
      </c>
      <c r="E74" s="5" t="s">
        <v>12</v>
      </c>
      <c r="F74" s="6">
        <f t="shared" si="2"/>
        <v>0</v>
      </c>
      <c r="G74" s="4" t="s">
        <v>319</v>
      </c>
      <c r="H74" s="4">
        <v>20.0</v>
      </c>
      <c r="I74" s="4" t="s">
        <v>320</v>
      </c>
      <c r="J74" s="4" t="s">
        <v>321</v>
      </c>
    </row>
    <row r="75">
      <c r="A75" s="4" t="s">
        <v>322</v>
      </c>
      <c r="B75" s="4" t="s">
        <v>318</v>
      </c>
      <c r="C75" s="4">
        <v>0.0</v>
      </c>
      <c r="D75" s="4">
        <v>1.0</v>
      </c>
      <c r="E75" s="5" t="s">
        <v>12</v>
      </c>
      <c r="F75" s="6">
        <f t="shared" si="2"/>
        <v>0</v>
      </c>
      <c r="G75" s="4" t="s">
        <v>323</v>
      </c>
      <c r="H75" s="4">
        <v>21.0</v>
      </c>
      <c r="I75" s="4" t="s">
        <v>324</v>
      </c>
      <c r="J75" s="4" t="s">
        <v>325</v>
      </c>
    </row>
    <row r="76">
      <c r="A76" s="4" t="s">
        <v>326</v>
      </c>
      <c r="B76" s="4" t="s">
        <v>318</v>
      </c>
      <c r="C76" s="4">
        <v>0.0</v>
      </c>
      <c r="D76" s="4">
        <v>1.0</v>
      </c>
      <c r="E76" s="5" t="s">
        <v>12</v>
      </c>
      <c r="F76" s="6">
        <f t="shared" si="2"/>
        <v>0</v>
      </c>
      <c r="G76" s="4" t="s">
        <v>327</v>
      </c>
      <c r="H76" s="4">
        <v>7.0</v>
      </c>
      <c r="I76" s="4" t="s">
        <v>328</v>
      </c>
      <c r="J76" s="4" t="s">
        <v>329</v>
      </c>
    </row>
    <row r="77">
      <c r="A77" s="4" t="s">
        <v>330</v>
      </c>
      <c r="B77" s="4" t="s">
        <v>318</v>
      </c>
      <c r="C77" s="4">
        <v>0.0</v>
      </c>
      <c r="D77" s="4">
        <v>1.0</v>
      </c>
      <c r="E77" s="5" t="s">
        <v>12</v>
      </c>
      <c r="F77" s="6">
        <f t="shared" si="2"/>
        <v>0</v>
      </c>
      <c r="G77" s="4" t="s">
        <v>327</v>
      </c>
      <c r="H77" s="4">
        <v>7.0</v>
      </c>
      <c r="I77" s="4" t="s">
        <v>331</v>
      </c>
      <c r="J77" s="4" t="s">
        <v>332</v>
      </c>
    </row>
    <row r="78">
      <c r="A78" s="4" t="s">
        <v>333</v>
      </c>
      <c r="B78" s="4" t="s">
        <v>334</v>
      </c>
      <c r="C78" s="4">
        <v>0.0</v>
      </c>
      <c r="D78" s="4">
        <v>1.0</v>
      </c>
      <c r="E78" s="5" t="s">
        <v>12</v>
      </c>
      <c r="F78" s="6">
        <f t="shared" si="2"/>
        <v>0</v>
      </c>
      <c r="G78" s="4" t="s">
        <v>335</v>
      </c>
      <c r="H78" s="4">
        <v>38.0</v>
      </c>
      <c r="I78" s="4" t="s">
        <v>336</v>
      </c>
      <c r="J78" s="4" t="s">
        <v>337</v>
      </c>
    </row>
    <row r="79">
      <c r="A79" s="4" t="s">
        <v>338</v>
      </c>
      <c r="B79" s="4" t="s">
        <v>334</v>
      </c>
      <c r="C79" s="4">
        <v>0.0</v>
      </c>
      <c r="D79" s="4">
        <v>1.0</v>
      </c>
      <c r="E79" s="5" t="s">
        <v>12</v>
      </c>
      <c r="F79" s="6">
        <f t="shared" si="2"/>
        <v>0</v>
      </c>
      <c r="G79" s="4" t="s">
        <v>339</v>
      </c>
      <c r="H79" s="4">
        <v>5.0</v>
      </c>
      <c r="I79" s="4" t="s">
        <v>340</v>
      </c>
      <c r="J79" s="4" t="s">
        <v>341</v>
      </c>
    </row>
    <row r="80">
      <c r="A80" s="4" t="s">
        <v>342</v>
      </c>
      <c r="B80" s="4" t="s">
        <v>334</v>
      </c>
      <c r="C80" s="4">
        <v>0.0</v>
      </c>
      <c r="D80" s="4">
        <v>1.0</v>
      </c>
      <c r="E80" s="5" t="s">
        <v>12</v>
      </c>
      <c r="F80" s="6">
        <f t="shared" si="2"/>
        <v>0</v>
      </c>
      <c r="G80" s="4" t="s">
        <v>339</v>
      </c>
      <c r="H80" s="4">
        <v>5.0</v>
      </c>
      <c r="I80" s="4" t="s">
        <v>343</v>
      </c>
      <c r="J80" s="4" t="s">
        <v>344</v>
      </c>
    </row>
    <row r="81">
      <c r="A81" s="4" t="s">
        <v>345</v>
      </c>
      <c r="B81" s="4" t="s">
        <v>334</v>
      </c>
      <c r="C81" s="4">
        <v>0.0</v>
      </c>
      <c r="D81" s="4">
        <v>1.0</v>
      </c>
      <c r="E81" s="5" t="s">
        <v>12</v>
      </c>
      <c r="F81" s="6">
        <f t="shared" si="2"/>
        <v>0</v>
      </c>
      <c r="G81" s="4" t="s">
        <v>346</v>
      </c>
      <c r="H81" s="4">
        <v>21.0</v>
      </c>
      <c r="I81" s="4" t="s">
        <v>347</v>
      </c>
      <c r="J81" s="4" t="s">
        <v>348</v>
      </c>
    </row>
    <row r="82">
      <c r="A82" s="4" t="s">
        <v>349</v>
      </c>
      <c r="B82" s="4" t="s">
        <v>350</v>
      </c>
      <c r="C82" s="4">
        <v>0.0</v>
      </c>
      <c r="D82" s="4">
        <v>1.0</v>
      </c>
      <c r="E82" s="5" t="s">
        <v>12</v>
      </c>
      <c r="F82" s="6">
        <f t="shared" si="2"/>
        <v>0</v>
      </c>
      <c r="G82" s="4" t="s">
        <v>351</v>
      </c>
      <c r="H82" s="4">
        <v>126.0</v>
      </c>
      <c r="I82" s="4" t="s">
        <v>352</v>
      </c>
      <c r="J82" s="4" t="s">
        <v>353</v>
      </c>
    </row>
    <row r="83">
      <c r="A83" s="4" t="s">
        <v>354</v>
      </c>
      <c r="B83" s="4" t="s">
        <v>350</v>
      </c>
      <c r="C83" s="4">
        <v>0.0</v>
      </c>
      <c r="D83" s="4">
        <v>1.0</v>
      </c>
      <c r="E83" s="5" t="s">
        <v>12</v>
      </c>
      <c r="F83" s="6">
        <f t="shared" si="2"/>
        <v>0</v>
      </c>
      <c r="G83" s="4" t="s">
        <v>355</v>
      </c>
      <c r="H83" s="4">
        <v>18.0</v>
      </c>
      <c r="I83" s="4" t="s">
        <v>356</v>
      </c>
      <c r="J83" s="4" t="s">
        <v>357</v>
      </c>
    </row>
    <row r="84">
      <c r="A84" s="4" t="s">
        <v>358</v>
      </c>
      <c r="B84" s="4" t="s">
        <v>350</v>
      </c>
      <c r="C84" s="4">
        <v>0.0</v>
      </c>
      <c r="D84" s="4">
        <v>1.0</v>
      </c>
      <c r="E84" s="5" t="s">
        <v>12</v>
      </c>
      <c r="F84" s="6">
        <f t="shared" si="2"/>
        <v>0</v>
      </c>
      <c r="G84" s="4" t="s">
        <v>359</v>
      </c>
      <c r="H84" s="4">
        <v>12.0</v>
      </c>
      <c r="I84" s="4" t="s">
        <v>360</v>
      </c>
      <c r="J84" s="4" t="s">
        <v>361</v>
      </c>
    </row>
    <row r="85">
      <c r="A85" s="4" t="s">
        <v>362</v>
      </c>
      <c r="B85" s="4" t="s">
        <v>350</v>
      </c>
      <c r="C85" s="4">
        <v>0.0</v>
      </c>
      <c r="D85" s="4">
        <v>1.0</v>
      </c>
      <c r="E85" s="5" t="s">
        <v>12</v>
      </c>
      <c r="F85" s="6">
        <f t="shared" si="2"/>
        <v>0</v>
      </c>
      <c r="G85" s="4" t="s">
        <v>363</v>
      </c>
      <c r="H85" s="4">
        <v>59.0</v>
      </c>
      <c r="I85" s="4" t="s">
        <v>364</v>
      </c>
      <c r="J85" s="4" t="s">
        <v>365</v>
      </c>
    </row>
    <row r="86">
      <c r="A86" s="4" t="s">
        <v>366</v>
      </c>
      <c r="B86" s="4" t="s">
        <v>367</v>
      </c>
      <c r="C86" s="4">
        <v>0.0</v>
      </c>
      <c r="D86" s="4">
        <v>1.0</v>
      </c>
      <c r="E86" s="5" t="s">
        <v>12</v>
      </c>
      <c r="F86" s="6">
        <f t="shared" si="2"/>
        <v>0</v>
      </c>
      <c r="G86" s="4" t="s">
        <v>368</v>
      </c>
      <c r="H86" s="4">
        <v>9.0</v>
      </c>
      <c r="I86" s="4" t="s">
        <v>369</v>
      </c>
      <c r="J86" s="4" t="s">
        <v>370</v>
      </c>
    </row>
    <row r="87">
      <c r="A87" s="4" t="s">
        <v>371</v>
      </c>
      <c r="B87" s="4" t="s">
        <v>367</v>
      </c>
      <c r="C87" s="4">
        <v>0.0</v>
      </c>
      <c r="D87" s="4">
        <v>1.0</v>
      </c>
      <c r="E87" s="5" t="s">
        <v>12</v>
      </c>
      <c r="F87" s="6">
        <f t="shared" si="2"/>
        <v>0</v>
      </c>
      <c r="G87" s="4" t="s">
        <v>372</v>
      </c>
      <c r="H87" s="4">
        <v>142.0</v>
      </c>
      <c r="I87" s="4" t="s">
        <v>373</v>
      </c>
      <c r="J87" s="4" t="s">
        <v>374</v>
      </c>
    </row>
    <row r="88">
      <c r="A88" s="4" t="s">
        <v>375</v>
      </c>
      <c r="B88" s="4" t="s">
        <v>367</v>
      </c>
      <c r="C88" s="4">
        <v>0.0</v>
      </c>
      <c r="D88" s="4">
        <v>1.0</v>
      </c>
      <c r="E88" s="5" t="s">
        <v>12</v>
      </c>
      <c r="F88" s="6">
        <f t="shared" si="2"/>
        <v>0</v>
      </c>
      <c r="G88" s="4" t="s">
        <v>376</v>
      </c>
      <c r="H88" s="4">
        <v>16.0</v>
      </c>
      <c r="I88" s="4" t="s">
        <v>377</v>
      </c>
      <c r="J88" s="4" t="s">
        <v>378</v>
      </c>
    </row>
    <row r="89">
      <c r="A89" s="4" t="s">
        <v>379</v>
      </c>
      <c r="B89" s="4" t="s">
        <v>367</v>
      </c>
      <c r="C89" s="4">
        <v>0.0</v>
      </c>
      <c r="D89" s="4">
        <v>1.0</v>
      </c>
      <c r="E89" s="5" t="s">
        <v>12</v>
      </c>
      <c r="F89" s="6">
        <f t="shared" si="2"/>
        <v>0</v>
      </c>
      <c r="G89" s="4" t="s">
        <v>380</v>
      </c>
      <c r="H89" s="4">
        <v>102.0</v>
      </c>
      <c r="I89" s="4" t="s">
        <v>381</v>
      </c>
      <c r="J89" s="4" t="s">
        <v>382</v>
      </c>
    </row>
    <row r="90">
      <c r="A90" s="4" t="s">
        <v>383</v>
      </c>
      <c r="B90" s="4" t="s">
        <v>384</v>
      </c>
      <c r="C90" s="4">
        <v>0.0</v>
      </c>
      <c r="D90" s="4">
        <v>1.0</v>
      </c>
      <c r="E90" s="5" t="s">
        <v>12</v>
      </c>
      <c r="F90" s="6">
        <f t="shared" si="2"/>
        <v>0</v>
      </c>
      <c r="G90" s="4" t="s">
        <v>385</v>
      </c>
      <c r="H90" s="4">
        <v>89.0</v>
      </c>
      <c r="I90" s="4" t="s">
        <v>386</v>
      </c>
      <c r="J90" s="4" t="s">
        <v>387</v>
      </c>
    </row>
    <row r="91">
      <c r="A91" s="4" t="s">
        <v>388</v>
      </c>
      <c r="B91" s="4" t="s">
        <v>384</v>
      </c>
      <c r="C91" s="4">
        <v>0.0</v>
      </c>
      <c r="D91" s="4">
        <v>1.0</v>
      </c>
      <c r="E91" s="5" t="s">
        <v>12</v>
      </c>
      <c r="F91" s="6">
        <f t="shared" si="2"/>
        <v>0</v>
      </c>
      <c r="G91" s="4" t="s">
        <v>389</v>
      </c>
      <c r="H91" s="4">
        <v>93.0</v>
      </c>
      <c r="I91" s="4" t="s">
        <v>390</v>
      </c>
      <c r="J91" s="4" t="s">
        <v>391</v>
      </c>
    </row>
    <row r="92">
      <c r="A92" s="4" t="s">
        <v>392</v>
      </c>
      <c r="B92" s="4" t="s">
        <v>384</v>
      </c>
      <c r="C92" s="4">
        <v>0.0</v>
      </c>
      <c r="D92" s="4">
        <v>1.0</v>
      </c>
      <c r="E92" s="5" t="s">
        <v>12</v>
      </c>
      <c r="F92" s="6">
        <f t="shared" si="2"/>
        <v>0</v>
      </c>
      <c r="G92" s="4" t="s">
        <v>393</v>
      </c>
      <c r="H92" s="4">
        <v>22.0</v>
      </c>
      <c r="I92" s="4" t="s">
        <v>394</v>
      </c>
      <c r="J92" s="4" t="s">
        <v>395</v>
      </c>
    </row>
    <row r="93">
      <c r="A93" s="4" t="s">
        <v>396</v>
      </c>
      <c r="B93" s="4" t="s">
        <v>384</v>
      </c>
      <c r="C93" s="4">
        <v>0.0</v>
      </c>
      <c r="D93" s="4">
        <v>1.0</v>
      </c>
      <c r="E93" s="5" t="s">
        <v>12</v>
      </c>
      <c r="F93" s="6">
        <f t="shared" si="2"/>
        <v>0</v>
      </c>
      <c r="G93" s="4" t="s">
        <v>397</v>
      </c>
      <c r="H93" s="4">
        <v>31.0</v>
      </c>
      <c r="I93" s="4" t="s">
        <v>398</v>
      </c>
      <c r="J93" s="4" t="s">
        <v>399</v>
      </c>
    </row>
    <row r="94">
      <c r="A94" s="4" t="s">
        <v>400</v>
      </c>
      <c r="B94" s="4" t="s">
        <v>401</v>
      </c>
      <c r="C94" s="4">
        <v>0.0</v>
      </c>
      <c r="D94" s="4">
        <v>1.0</v>
      </c>
      <c r="E94" s="5" t="s">
        <v>12</v>
      </c>
      <c r="F94" s="6">
        <f t="shared" si="2"/>
        <v>0</v>
      </c>
      <c r="G94" s="4" t="s">
        <v>402</v>
      </c>
      <c r="H94" s="4">
        <v>42.0</v>
      </c>
      <c r="I94" s="4" t="s">
        <v>403</v>
      </c>
      <c r="J94" s="4" t="s">
        <v>404</v>
      </c>
    </row>
    <row r="95">
      <c r="A95" s="4" t="s">
        <v>405</v>
      </c>
      <c r="B95" s="4" t="s">
        <v>401</v>
      </c>
      <c r="C95" s="4">
        <v>0.0</v>
      </c>
      <c r="D95" s="4">
        <v>1.0</v>
      </c>
      <c r="E95" s="5" t="s">
        <v>12</v>
      </c>
      <c r="F95" s="6">
        <f t="shared" si="2"/>
        <v>0</v>
      </c>
      <c r="G95" s="4" t="s">
        <v>406</v>
      </c>
      <c r="H95" s="4">
        <v>77.0</v>
      </c>
      <c r="I95" s="4" t="s">
        <v>407</v>
      </c>
      <c r="J95" s="4" t="s">
        <v>408</v>
      </c>
    </row>
    <row r="96">
      <c r="A96" s="4" t="s">
        <v>409</v>
      </c>
      <c r="B96" s="4" t="s">
        <v>401</v>
      </c>
      <c r="C96" s="4">
        <v>0.0</v>
      </c>
      <c r="D96" s="4">
        <v>1.0</v>
      </c>
      <c r="E96" s="5" t="s">
        <v>12</v>
      </c>
      <c r="F96" s="6">
        <f t="shared" si="2"/>
        <v>0</v>
      </c>
      <c r="G96" s="4" t="s">
        <v>410</v>
      </c>
      <c r="H96" s="4">
        <v>112.0</v>
      </c>
      <c r="I96" s="4" t="s">
        <v>411</v>
      </c>
      <c r="J96" s="4" t="s">
        <v>412</v>
      </c>
    </row>
    <row r="97">
      <c r="A97" s="4" t="s">
        <v>413</v>
      </c>
      <c r="B97" s="4" t="s">
        <v>401</v>
      </c>
      <c r="C97" s="4">
        <v>0.0</v>
      </c>
      <c r="D97" s="4">
        <v>1.0</v>
      </c>
      <c r="E97" s="5" t="s">
        <v>12</v>
      </c>
      <c r="F97" s="6">
        <f t="shared" si="2"/>
        <v>0</v>
      </c>
      <c r="G97" s="4" t="s">
        <v>414</v>
      </c>
      <c r="H97" s="4">
        <v>109.0</v>
      </c>
      <c r="I97" s="4" t="s">
        <v>415</v>
      </c>
      <c r="J97" s="4" t="s">
        <v>416</v>
      </c>
    </row>
    <row r="98">
      <c r="A98" s="4" t="s">
        <v>417</v>
      </c>
      <c r="B98" s="4" t="s">
        <v>418</v>
      </c>
      <c r="C98" s="4">
        <v>0.0</v>
      </c>
      <c r="D98" s="4">
        <v>1.0</v>
      </c>
      <c r="E98" s="5" t="s">
        <v>12</v>
      </c>
      <c r="F98" s="6">
        <f t="shared" si="2"/>
        <v>0</v>
      </c>
      <c r="G98" s="4" t="s">
        <v>419</v>
      </c>
      <c r="H98" s="4">
        <v>82.0</v>
      </c>
      <c r="I98" s="4" t="s">
        <v>420</v>
      </c>
      <c r="J98" s="4" t="s">
        <v>421</v>
      </c>
    </row>
    <row r="99">
      <c r="A99" s="4" t="s">
        <v>422</v>
      </c>
      <c r="B99" s="4" t="s">
        <v>418</v>
      </c>
      <c r="C99" s="4">
        <v>0.0</v>
      </c>
      <c r="D99" s="4">
        <v>1.0</v>
      </c>
      <c r="E99" s="5" t="s">
        <v>12</v>
      </c>
      <c r="F99" s="6">
        <f t="shared" si="2"/>
        <v>0</v>
      </c>
      <c r="G99" s="4" t="s">
        <v>423</v>
      </c>
      <c r="H99" s="4">
        <v>211.0</v>
      </c>
      <c r="I99" s="4" t="s">
        <v>424</v>
      </c>
      <c r="J99" s="4" t="s">
        <v>425</v>
      </c>
    </row>
    <row r="100">
      <c r="A100" s="4" t="s">
        <v>426</v>
      </c>
      <c r="B100" s="4" t="s">
        <v>418</v>
      </c>
      <c r="C100" s="4">
        <v>0.0</v>
      </c>
      <c r="D100" s="4">
        <v>1.0</v>
      </c>
      <c r="E100" s="5" t="s">
        <v>12</v>
      </c>
      <c r="F100" s="6">
        <f t="shared" si="2"/>
        <v>0</v>
      </c>
      <c r="G100" s="4" t="s">
        <v>427</v>
      </c>
      <c r="H100" s="4">
        <v>62.0</v>
      </c>
      <c r="I100" s="4" t="s">
        <v>428</v>
      </c>
      <c r="J100" s="4" t="s">
        <v>429</v>
      </c>
    </row>
    <row r="101">
      <c r="A101" s="4" t="s">
        <v>430</v>
      </c>
      <c r="B101" s="4" t="s">
        <v>418</v>
      </c>
      <c r="C101" s="4">
        <v>0.0</v>
      </c>
      <c r="D101" s="4">
        <v>1.0</v>
      </c>
      <c r="E101" s="5" t="s">
        <v>12</v>
      </c>
      <c r="F101" s="6">
        <f t="shared" si="2"/>
        <v>0</v>
      </c>
      <c r="G101" s="4" t="s">
        <v>431</v>
      </c>
      <c r="H101" s="4">
        <v>157.0</v>
      </c>
      <c r="I101" s="4" t="s">
        <v>432</v>
      </c>
      <c r="J101" s="4" t="s">
        <v>433</v>
      </c>
    </row>
    <row r="102">
      <c r="A102" s="4" t="s">
        <v>434</v>
      </c>
      <c r="B102" s="4" t="s">
        <v>435</v>
      </c>
      <c r="C102" s="4">
        <v>0.0</v>
      </c>
      <c r="D102" s="4">
        <v>1.0</v>
      </c>
      <c r="E102" s="5" t="s">
        <v>12</v>
      </c>
      <c r="F102" s="6">
        <f t="shared" si="2"/>
        <v>0</v>
      </c>
      <c r="G102" s="4" t="s">
        <v>436</v>
      </c>
      <c r="H102" s="4">
        <v>17.0</v>
      </c>
      <c r="I102" s="4" t="s">
        <v>437</v>
      </c>
      <c r="J102" s="4" t="s">
        <v>438</v>
      </c>
    </row>
    <row r="103">
      <c r="A103" s="4" t="s">
        <v>439</v>
      </c>
      <c r="B103" s="4" t="s">
        <v>435</v>
      </c>
      <c r="C103" s="4">
        <v>0.0</v>
      </c>
      <c r="D103" s="4">
        <v>1.0</v>
      </c>
      <c r="E103" s="5" t="s">
        <v>12</v>
      </c>
      <c r="F103" s="6">
        <f t="shared" si="2"/>
        <v>0</v>
      </c>
      <c r="G103" s="4" t="s">
        <v>440</v>
      </c>
      <c r="H103" s="4">
        <v>16.0</v>
      </c>
      <c r="I103" s="4" t="s">
        <v>441</v>
      </c>
      <c r="J103" s="4" t="s">
        <v>442</v>
      </c>
    </row>
    <row r="104">
      <c r="A104" s="4" t="s">
        <v>443</v>
      </c>
      <c r="B104" s="4" t="s">
        <v>435</v>
      </c>
      <c r="C104" s="4">
        <v>0.0</v>
      </c>
      <c r="D104" s="4">
        <v>1.0</v>
      </c>
      <c r="E104" s="5" t="s">
        <v>12</v>
      </c>
      <c r="F104" s="6">
        <f t="shared" si="2"/>
        <v>0</v>
      </c>
      <c r="G104" s="4" t="s">
        <v>444</v>
      </c>
      <c r="H104" s="4">
        <v>5.0</v>
      </c>
      <c r="I104" s="4" t="s">
        <v>445</v>
      </c>
      <c r="J104" s="4" t="s">
        <v>446</v>
      </c>
    </row>
    <row r="105">
      <c r="A105" s="4" t="s">
        <v>447</v>
      </c>
      <c r="B105" s="4" t="s">
        <v>435</v>
      </c>
      <c r="C105" s="4">
        <v>0.0</v>
      </c>
      <c r="D105" s="4">
        <v>1.0</v>
      </c>
      <c r="E105" s="5" t="s">
        <v>12</v>
      </c>
      <c r="F105" s="6">
        <f t="shared" si="2"/>
        <v>0</v>
      </c>
      <c r="G105" s="4" t="s">
        <v>448</v>
      </c>
      <c r="H105" s="4">
        <v>4.0</v>
      </c>
      <c r="I105" s="4" t="s">
        <v>449</v>
      </c>
      <c r="J105" s="4" t="s">
        <v>450</v>
      </c>
    </row>
    <row r="106">
      <c r="F106" s="8"/>
    </row>
    <row r="107">
      <c r="F107" s="8"/>
    </row>
    <row r="108">
      <c r="F108" s="9" t="s">
        <v>451</v>
      </c>
      <c r="G108" s="9" t="s">
        <v>452</v>
      </c>
      <c r="H108" s="9" t="s">
        <v>453</v>
      </c>
      <c r="J108" s="9" t="s">
        <v>454</v>
      </c>
      <c r="K108" s="9" t="s">
        <v>455</v>
      </c>
      <c r="L108" s="9" t="s">
        <v>456</v>
      </c>
    </row>
    <row r="109">
      <c r="F109" s="10">
        <f>AVERAGE(F2:F105)</f>
        <v>0</v>
      </c>
      <c r="G109" s="10">
        <f>MEDIAN(F2:F105)</f>
        <v>0</v>
      </c>
      <c r="H109" s="11">
        <f>STDEV(F2:F105)</f>
        <v>0</v>
      </c>
      <c r="J109" s="10">
        <f>AVERAGE(H2:H105)</f>
        <v>52.93269231</v>
      </c>
      <c r="K109" s="10">
        <f>MEDIAN(H2:H105)</f>
        <v>31</v>
      </c>
      <c r="L109" s="11">
        <f>STDEV(H2:H105)</f>
        <v>59.24169098</v>
      </c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  <row r="998">
      <c r="F99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41.63"/>
    <col customWidth="1" hidden="1" min="3" max="3" width="62.75"/>
    <col customWidth="1" min="4" max="4" width="28.0"/>
    <col customWidth="1" min="5" max="5" width="83.38"/>
    <col customWidth="1" min="6" max="6" width="39.0"/>
    <col customWidth="1" min="7" max="9" width="86.0"/>
    <col customWidth="1" min="10" max="10" width="47.5"/>
    <col customWidth="1" min="11" max="11" width="138.0"/>
    <col customWidth="1" min="12" max="12" width="56.13"/>
  </cols>
  <sheetData>
    <row r="1">
      <c r="A1" s="12" t="s">
        <v>0</v>
      </c>
      <c r="B1" s="12" t="s">
        <v>1</v>
      </c>
      <c r="C1" s="1" t="s">
        <v>6</v>
      </c>
      <c r="D1" s="13" t="s">
        <v>7</v>
      </c>
      <c r="E1" s="14" t="s">
        <v>457</v>
      </c>
      <c r="F1" s="15" t="s">
        <v>458</v>
      </c>
      <c r="G1" s="16" t="s">
        <v>459</v>
      </c>
      <c r="H1" s="17" t="s">
        <v>460</v>
      </c>
      <c r="I1" s="16" t="s">
        <v>461</v>
      </c>
      <c r="J1" s="17" t="s">
        <v>462</v>
      </c>
      <c r="K1" s="16" t="s">
        <v>463</v>
      </c>
      <c r="L1" s="17" t="s">
        <v>464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8" t="s">
        <v>10</v>
      </c>
      <c r="B2" s="18" t="s">
        <v>11</v>
      </c>
      <c r="C2" s="18" t="s">
        <v>465</v>
      </c>
      <c r="D2" s="19">
        <v>26.0</v>
      </c>
      <c r="E2" s="11" t="s">
        <v>466</v>
      </c>
      <c r="F2" s="20">
        <f>IFERROR(__xludf.DUMMYFUNCTION("IF(E2="""", 0, COUNTA(SPLIT(E2, CHAR(10))))"),8.0)</f>
        <v>8</v>
      </c>
      <c r="G2" s="11" t="str">
        <f>IFERROR(__xludf.DUMMYFUNCTION("IFERROR(
   IF(
     COUNTA(FILTER(SPLIT(E2, CHAR(10)), NOT(REGEXMATCH(SPLIT(E2, CHAR(10)), "" name is too long"")))) = 0,
     """",
     JOIN(CHAR(10), FILTER(SPLIT(E2, CHAR(10)), NOT(REGEXMATCH(SPLIT(E2, CHAR(10)), "" name is too long""))))
   ),
   """&amp;"""
)"),"linha 11: Multiple empty lines are not allowed
linha 12: Multiple empty lines are not allowed
linha 19: Multiple empty lines are not allowed
linha 20: Multiple empty lines are not allowed
linha 28: Multiple empty lines are not allowed
linha 29: Multiple e"&amp;"mpty lines are not allowed
linha 36: Multiple empty lines are not allowed
linha 37: Multiple empty lines are not allowed")</f>
        <v>linha 11: Multiple empty lines are not allowed
linha 12: Multiple empty lines are not allowed
linha 19: Multiple empty lines are not allowed
linha 20: Multiple empty lines are not allowed
linha 28: Multiple empty lines are not allowed
linha 29: Multiple empty lines are not allowed
linha 36: Multiple empty lines are not allowed
linha 37: Multiple empty lines are not allowed</v>
      </c>
      <c r="H2" s="20">
        <f>IFERROR(__xludf.DUMMYFUNCTION("IF(G2="""", 0, COUNTA(SPLIT(G2, CHAR(10))))"),8.0)</f>
        <v>8</v>
      </c>
      <c r="J2" s="20">
        <f>IFERROR(__xludf.DUMMYFUNCTION("IF(I2="""", 0, COUNTA(SPLIT(I2, CHAR(10))))"),0.0)</f>
        <v>0</v>
      </c>
      <c r="K2" s="11" t="str">
        <f>IFERROR(__xludf.DUMMYFUNCTION("IFERROR(
   IF(
     COUNTA(FILTER(SPLIT(I2, CHAR(10)), NOT(REGEXMATCH(SPLIT(I2, CHAR(10)), "" name is too long"")))) = 0,
     """",
     JOIN(CHAR(10), FILTER(SPLIT(I2, CHAR(10)), NOT(REGEXMATCH(SPLIT(I2, CHAR(10)), "" name is too long""))))
   ),
   """&amp;"""
)"),"")</f>
        <v/>
      </c>
      <c r="L2" s="20">
        <f>IFERROR(__xludf.DUMMYFUNCTION("IF(K2="""", 0, COUNTA(SPLIT(K2, CHAR(10))))"),0.0)</f>
        <v>0</v>
      </c>
    </row>
    <row r="3">
      <c r="A3" s="18" t="s">
        <v>16</v>
      </c>
      <c r="B3" s="18" t="s">
        <v>11</v>
      </c>
      <c r="C3" s="18" t="s">
        <v>467</v>
      </c>
      <c r="D3" s="19">
        <v>33.0</v>
      </c>
      <c r="E3" s="11" t="s">
        <v>468</v>
      </c>
      <c r="F3" s="20">
        <f>IFERROR(__xludf.DUMMYFUNCTION("IF(E3="""", 0, COUNTA(SPLIT(E3, CHAR(10))))"),7.0)</f>
        <v>7</v>
      </c>
      <c r="G3" s="11" t="str">
        <f>IFERROR(__xludf.DUMMYFUNCTION("IFERROR(
   IF(
     COUNTA(FILTER(SPLIT(E3, CHAR(10)), NOT(REGEXMATCH(SPLIT(E3, CHAR(10)), "" name is too long"")))) = 0,
     """",
     JOIN(CHAR(10), FILTER(SPLIT(E3, CHAR(10)), NOT(REGEXMATCH(SPLIT(E3, CHAR(10)), "" name is too long""))))
   ),
   """&amp;"""
)"),"linha 12: Step ""When I fill in ""Card number"" with ""1234"""" should not appear after step using keyword then
linha 20: Multiple empty lines are not allowed
linha 21: Multiple empty lines are not allowed
linha 31: Multiple empty lines are not allowed
li"&amp;"nha 32: Multiple empty lines are not allowed
linha 42: Multiple empty lines are not allowed
linha 43: Multiple empty lines are not allowed")</f>
        <v>linha 12: Step "When I fill in "Card number" with "1234"" should not appear after step using keyword then
linha 20: Multiple empty lines are not allowed
linha 21: Multiple empty lines are not allowed
linha 31: Multiple empty lines are not allowed
linha 32: Multiple empty lines are not allowed
linha 42: Multiple empty lines are not allowed
linha 43: Multiple empty lines are not allowed</v>
      </c>
      <c r="H3" s="20">
        <f>IFERROR(__xludf.DUMMYFUNCTION("IF(G3="""", 0, COUNTA(SPLIT(G3, CHAR(10))))"),7.0)</f>
        <v>7</v>
      </c>
      <c r="I3" s="11" t="s">
        <v>469</v>
      </c>
      <c r="J3" s="20">
        <f>IFERROR(__xludf.DUMMYFUNCTION("IF(I3="""", 0, COUNTA(SPLIT(I3, CHAR(10))))"),1.0)</f>
        <v>1</v>
      </c>
      <c r="K3" s="11" t="str">
        <f>IFERROR(__xludf.DUMMYFUNCTION("IFERROR(
   IF(
     COUNTA(FILTER(SPLIT(I3, CHAR(10)), NOT(REGEXMATCH(SPLIT(I3, CHAR(10)), "" name is too long"")))) = 0,
     """",
     JOIN(CHAR(10), FILTER(SPLIT(I3, CHAR(10)), NOT(REGEXMATCH(SPLIT(I3, CHAR(10)), "" name is too long""))))
   ),
   """&amp;"""
)"),"linha 12: Step ""When I fill in ""Card number"" with ""1234"""" should not appear after step using keyword then")</f>
        <v>linha 12: Step "When I fill in "Card number" with "1234"" should not appear after step using keyword then</v>
      </c>
      <c r="L3" s="20">
        <f>IFERROR(__xludf.DUMMYFUNCTION("IF(K3="""", 0, COUNTA(SPLIT(K3, CHAR(10))))"),1.0)</f>
        <v>1</v>
      </c>
    </row>
    <row r="4">
      <c r="A4" s="18" t="s">
        <v>20</v>
      </c>
      <c r="B4" s="18" t="s">
        <v>11</v>
      </c>
      <c r="C4" s="18" t="s">
        <v>470</v>
      </c>
      <c r="D4" s="19">
        <v>98.0</v>
      </c>
      <c r="E4" s="11" t="s">
        <v>471</v>
      </c>
      <c r="F4" s="20">
        <f>IFERROR(__xludf.DUMMYFUNCTION("IF(E4="""", 0, COUNTA(SPLIT(E4, CHAR(10))))"),31.0)</f>
        <v>31</v>
      </c>
      <c r="G4" s="11" t="str">
        <f>IFERROR(__xludf.DUMMYFUNCTION("IFERROR(
   IF(
     COUNTA(FILTER(SPLIT(E4, CHAR(10)), NOT(REGEXMATCH(SPLIT(E4, CHAR(10)), "" name is too long"")))) = 0,
     """",
     JOIN(CHAR(10), FILTER(SPLIT(E4, CHAR(10)), NOT(REGEXMATCH(SPLIT(E4, CHAR(10)), "" name is too long""))))
   ),
   """&amp;"""
)"),"linha 9: Multiple empty lines are not allowed
linha 10: Multiple empty lines are not allowed
linha 16: Multiple empty lines are not allowed
linha 17: Multiple empty lines are not allowed
linha 25: Multiple empty lines are not allowed
linha 26: Multiple em"&amp;"pty lines are not allowed
linha 33: Step ""When the table is filtered with:"" should use And instead of When
linha 36: Multiple empty lines are not allowed
linha 37: Multiple empty lines are not allowed
linha 50: Multiple empty lines are not allowed
linha"&amp;" 51: Multiple empty lines are not allowed
linha 59: Multiple empty lines are not allowed
linha 60: Multiple empty lines are not allowed
linha 69: Step ""When the table is filtered with:"" should not appear after step using keyword then
linha 72: Multiple "&amp;"empty lines are not allowed
linha 73: Multiple empty lines are not allowed
linha 82: Multiple empty lines are not allowed
linha 83: Multiple empty lines are not allowed
linha 86: Step ""Given a buyer ""First"""" should use And instead of Given
linha 92: S"&amp;"tep ""When the table is filtered with:"" should use And instead of When
linha 96: Multiple empty lines are not allowed
linha 97: Multiple empty lines are not allowed
linha 106: Step ""Then the table should contain the following:"" should use And instead o"&amp;"f Then
linha 108: Multiple empty lines are not allowed
linha 109: Multiple empty lines are not allowed
linha 115: Multiple empty lines are not allowed
linha 116: Multiple empty lines are not allowed
linha 117: Multiple empty lines are not allowed")</f>
        <v>linha 9: Multiple empty lines are not allowed
linha 10: Multiple empty lines are not allowed
linha 16: Multiple empty lines are not allowed
linha 17: Multiple empty lines are not allowed
linha 25: Multiple empty lines are not allowed
linha 26: Multiple empty lines are not allowed
linha 33: Step "When the table is filtered with:" should use And instead of When
linha 36: Multiple empty lines are not allowed
linha 37: Multiple empty lines are not allowed
linha 50: Multiple empty lines are not allowed
linha 51: Multiple empty lines are not allowed
linha 59: Multiple empty lines are not allowed
linha 60: Multiple empty lines are not allowed
linha 69: Step "When the table is filtered with:" should not appear after step using keyword then
linha 72: Multiple empty lines are not allowed
linha 73: Multiple empty lines are not allowed
linha 82: Multiple empty lines are not allowed
linha 83: Multiple empty lines are not allowed
linha 86: Step "Given a buyer "First"" should use And instead of Given
linha 92: Step "When the table is filtered with:" should use And instead of When
linha 96: Multiple empty lines are not allowed
linha 97: Multiple empty lines are not allowed
linha 106: Step "Then the table should contain the following:" should use And instead of Then
linha 108: Multiple empty lines are not allowed
linha 109: Multiple empty lines are not allowed
linha 115: Multiple empty lines are not allowed
linha 116: Multiple empty lines are not allowed
linha 117: Multiple empty lines are not allowed</v>
      </c>
      <c r="H4" s="20">
        <f>IFERROR(__xludf.DUMMYFUNCTION("IF(G4="""", 0, COUNTA(SPLIT(G4, CHAR(10))))"),28.0)</f>
        <v>28</v>
      </c>
      <c r="I4" s="11" t="s">
        <v>472</v>
      </c>
      <c r="J4" s="20">
        <f>IFERROR(__xludf.DUMMYFUNCTION("IF(I4="""", 0, COUNTA(SPLIT(I4, CHAR(10))))"),8.0)</f>
        <v>8</v>
      </c>
      <c r="K4" s="11" t="str">
        <f>IFERROR(__xludf.DUMMYFUNCTION("IFERROR(
   IF(
     COUNTA(FILTER(SPLIT(I4, CHAR(10)), NOT(REGEXMATCH(SPLIT(I4, CHAR(10)), "" name is too long"")))) = 0,
     """",
     JOIN(CHAR(10), FILTER(SPLIT(I4, CHAR(10)), NOT(REGEXMATCH(SPLIT(I4, CHAR(10)), "" name is too long""))))
   ),
   """&amp;"""
)"),"linha 33: Step ""When the table is filtered with:"" should use And instead of When
linha 69: Step ""When the table is filtered with:"" should not appear after step using keyword then
linha 86: Step ""Given a buyer ""First"""" should use And instead of Giv"&amp;"en
linha 92: Step ""When the table is filtered with:"" should use And instead of When
linha 106: Step ""Then the table should contain the following:"" should use And instead of Then")</f>
        <v>linha 33: Step "When the table is filtered with:" should use And instead of When
linha 69: Step "When the table is filtered with:" should not appear after step using keyword then
linha 86: Step "Given a buyer "First"" should use And instead of Given
linha 92: Step "When the table is filtered with:" should use And instead of When
linha 106: Step "Then the table should contain the following:" should use And instead of Then</v>
      </c>
      <c r="L4" s="20">
        <f>IFERROR(__xludf.DUMMYFUNCTION("IF(K4="""", 0, COUNTA(SPLIT(K4, CHAR(10))))"),5.0)</f>
        <v>5</v>
      </c>
    </row>
    <row r="5">
      <c r="A5" s="18" t="s">
        <v>24</v>
      </c>
      <c r="B5" s="18" t="s">
        <v>11</v>
      </c>
      <c r="C5" s="18" t="s">
        <v>473</v>
      </c>
      <c r="D5" s="19">
        <v>18.0</v>
      </c>
      <c r="E5" s="11" t="s">
        <v>474</v>
      </c>
      <c r="F5" s="20">
        <f>IFERROR(__xludf.DUMMYFUNCTION("IF(E5="""", 0, COUNTA(SPLIT(E5, CHAR(10))))"),6.0)</f>
        <v>6</v>
      </c>
      <c r="G5" s="11" t="str">
        <f>IFERROR(__xludf.DUMMYFUNCTION("IFERROR(
   IF(
     COUNTA(FILTER(SPLIT(E5, CHAR(10)), NOT(REGEXMATCH(SPLIT(E5, CHAR(10)), "" name is too long"")))) = 0,
     """",
     JOIN(CHAR(10), FILTER(SPLIT(E5, CHAR(10)), NOT(REGEXMATCH(SPLIT(E5, CHAR(10)), "" name is too long""))))
   ),
   """&amp;"""
)"),"linha 6: Step ""When they check only the following notifications:"" should not appear after step using keyword then
linha 11: Multiple empty lines are not allowed
linha 12: Multiple empty lines are not allowed
linha 16: Step ""When they disable all notifi"&amp;"cations"" should not appear after step using keyword then
linha 21: Multiple empty lines are not allowed
linha 22: Multiple empty lines are not allowed")</f>
        <v>linha 6: Step "When they check only the following notifications:" should not appear after step using keyword then
linha 11: Multiple empty lines are not allowed
linha 12: Multiple empty lines are not allowed
linha 16: Step "When they disable all notifications" should not appear after step using keyword then
linha 21: Multiple empty lines are not allowed
linha 22: Multiple empty lines are not allowed</v>
      </c>
      <c r="H5" s="20">
        <f>IFERROR(__xludf.DUMMYFUNCTION("IF(G5="""", 0, COUNTA(SPLIT(G5, CHAR(10))))"),6.0)</f>
        <v>6</v>
      </c>
      <c r="I5" s="11" t="s">
        <v>475</v>
      </c>
      <c r="J5" s="20">
        <f>IFERROR(__xludf.DUMMYFUNCTION("IF(I5="""", 0, COUNTA(SPLIT(I5, CHAR(10))))"),2.0)</f>
        <v>2</v>
      </c>
      <c r="K5" s="11" t="str">
        <f>IFERROR(__xludf.DUMMYFUNCTION("IFERROR(
   IF(
     COUNTA(FILTER(SPLIT(I5, CHAR(10)), NOT(REGEXMATCH(SPLIT(I5, CHAR(10)), "" name is too long"")))) = 0,
     """",
     JOIN(CHAR(10), FILTER(SPLIT(I5, CHAR(10)), NOT(REGEXMATCH(SPLIT(I5, CHAR(10)), "" name is too long""))))
   ),
   """&amp;"""
)"),"linha 6: Step ""When they check only the following notifications:"" should not appear after step using keyword then
linha 16: Step ""When they disable all notifications"" should not appear after step using keyword then")</f>
        <v>linha 6: Step "When they check only the following notifications:" should not appear after step using keyword then
linha 16: Step "When they disable all notifications" should not appear after step using keyword then</v>
      </c>
      <c r="L5" s="20">
        <f>IFERROR(__xludf.DUMMYFUNCTION("IF(K5="""", 0, COUNTA(SPLIT(K5, CHAR(10))))"),2.0)</f>
        <v>2</v>
      </c>
    </row>
    <row r="6">
      <c r="A6" s="18" t="s">
        <v>28</v>
      </c>
      <c r="B6" s="18" t="s">
        <v>29</v>
      </c>
      <c r="C6" s="18" t="s">
        <v>476</v>
      </c>
      <c r="D6" s="19">
        <v>6.0</v>
      </c>
      <c r="E6" s="11" t="s">
        <v>477</v>
      </c>
      <c r="F6" s="20">
        <f>IFERROR(__xludf.DUMMYFUNCTION("IF(E6="""", 0, COUNTA(SPLIT(E6, CHAR(10))))"),3.0)</f>
        <v>3</v>
      </c>
      <c r="G6" s="11" t="str">
        <f>IFERROR(__xludf.DUMMYFUNCTION("IFERROR(
   IF(
     COUNTA(FILTER(SPLIT(E6, CHAR(10)), NOT(REGEXMATCH(SPLIT(E6, CHAR(10)), "" name is too long"")))) = 0,
     """",
     JOIN(CHAR(10), FILTER(SPLIT(E6, CHAR(10)), NOT(REGEXMATCH(SPLIT(E6, CHAR(10)), "" name is too long""))))
   ),
   """&amp;"""
)"),"linha 8: Multiple empty lines are not allowed
linha 9: Multiple empty lines are not allowed
linha 10: Multiple empty lines are not allowed")</f>
        <v>linha 8: Multiple empty lines are not allowed
linha 9: Multiple empty lines are not allowed
linha 10: Multiple empty lines are not allowed</v>
      </c>
      <c r="H6" s="20">
        <f>IFERROR(__xludf.DUMMYFUNCTION("IF(G6="""", 0, COUNTA(SPLIT(G6, CHAR(10))))"),3.0)</f>
        <v>3</v>
      </c>
      <c r="J6" s="20">
        <f>IFERROR(__xludf.DUMMYFUNCTION("IF(I6="""", 0, COUNTA(SPLIT(I6, CHAR(10))))"),0.0)</f>
        <v>0</v>
      </c>
      <c r="K6" s="11" t="str">
        <f>IFERROR(__xludf.DUMMYFUNCTION("IFERROR(
   IF(
     COUNTA(FILTER(SPLIT(I6, CHAR(10)), NOT(REGEXMATCH(SPLIT(I6, CHAR(10)), "" name is too long"")))) = 0,
     """",
     JOIN(CHAR(10), FILTER(SPLIT(I6, CHAR(10)), NOT(REGEXMATCH(SPLIT(I6, CHAR(10)), "" name is too long""))))
   ),
   """&amp;"""
)"),"")</f>
        <v/>
      </c>
      <c r="L6" s="20">
        <f>IFERROR(__xludf.DUMMYFUNCTION("IF(K6="""", 0, COUNTA(SPLIT(K6, CHAR(10))))"),0.0)</f>
        <v>0</v>
      </c>
    </row>
    <row r="7">
      <c r="A7" s="18" t="s">
        <v>33</v>
      </c>
      <c r="B7" s="18" t="s">
        <v>29</v>
      </c>
      <c r="C7" s="18" t="s">
        <v>478</v>
      </c>
      <c r="D7" s="19">
        <v>5.0</v>
      </c>
      <c r="E7" s="11" t="s">
        <v>479</v>
      </c>
      <c r="F7" s="20">
        <f>IFERROR(__xludf.DUMMYFUNCTION("IF(E7="""", 0, COUNTA(SPLIT(E7, CHAR(10))))"),4.0)</f>
        <v>4</v>
      </c>
      <c r="G7" s="11" t="str">
        <f>IFERROR(__xludf.DUMMYFUNCTION("IFERROR(
   IF(
     COUNTA(FILTER(SPLIT(E7, CHAR(10)), NOT(REGEXMATCH(SPLIT(E7, CHAR(10)), "" name is too long"")))) = 0,
     """",
     JOIN(CHAR(10), FILTER(SPLIT(E7, CHAR(10)), NOT(REGEXMATCH(SPLIT(E7, CHAR(10)), "" name is too long""))))
   ),
   """&amp;"""
)"),"linha 3: Trailing spaces are not allowed
linha 3: Missing Scenario name
linha 6: Multiple empty lines are not allowed
linha 7: Multiple empty lines are not allowed")</f>
        <v>linha 3: Trailing spaces are not allowed
linha 3: Missing Scenario name
linha 6: Multiple empty lines are not allowed
linha 7: Multiple empty lines are not allowed</v>
      </c>
      <c r="H7" s="20">
        <f>IFERROR(__xludf.DUMMYFUNCTION("IF(G7="""", 0, COUNTA(SPLIT(G7, CHAR(10))))"),4.0)</f>
        <v>4</v>
      </c>
      <c r="I7" s="11" t="s">
        <v>480</v>
      </c>
      <c r="J7" s="20">
        <f>IFERROR(__xludf.DUMMYFUNCTION("IF(I7="""", 0, COUNTA(SPLIT(I7, CHAR(10))))"),2.0)</f>
        <v>2</v>
      </c>
      <c r="K7" s="11" t="str">
        <f>IFERROR(__xludf.DUMMYFUNCTION("IFERROR(
   IF(
     COUNTA(FILTER(SPLIT(I7, CHAR(10)), NOT(REGEXMATCH(SPLIT(I7, CHAR(10)), "" name is too long"")))) = 0,
     """",
     JOIN(CHAR(10), FILTER(SPLIT(I7, CHAR(10)), NOT(REGEXMATCH(SPLIT(I7, CHAR(10)), "" name is too long""))))
   ),
   """&amp;"""
)"),"linha 3: Trailing spaces are not allowed
linha 3: Missing Scenario name")</f>
        <v>linha 3: Trailing spaces are not allowed
linha 3: Missing Scenario name</v>
      </c>
      <c r="L7" s="20">
        <f>IFERROR(__xludf.DUMMYFUNCTION("IF(K7="""", 0, COUNTA(SPLIT(K7, CHAR(10))))"),2.0)</f>
        <v>2</v>
      </c>
    </row>
    <row r="8">
      <c r="A8" s="18" t="s">
        <v>37</v>
      </c>
      <c r="B8" s="18" t="s">
        <v>29</v>
      </c>
      <c r="C8" s="18" t="s">
        <v>481</v>
      </c>
      <c r="D8" s="19">
        <v>12.0</v>
      </c>
      <c r="E8" s="11" t="s">
        <v>482</v>
      </c>
      <c r="F8" s="20">
        <f>IFERROR(__xludf.DUMMYFUNCTION("IF(E8="""", 0, COUNTA(SPLIT(E8, CHAR(10))))"),4.0)</f>
        <v>4</v>
      </c>
      <c r="G8" s="11" t="str">
        <f>IFERROR(__xludf.DUMMYFUNCTION("IFERROR(
   IF(
     COUNTA(FILTER(SPLIT(E8, CHAR(10)), NOT(REGEXMATCH(SPLIT(E8, CHAR(10)), "" name is too long"")))) = 0,
     """",
     JOIN(CHAR(10), FILTER(SPLIT(E8, CHAR(10)), NOT(REGEXMATCH(SPLIT(E8, CHAR(10)), "" name is too long""))))
   ),
   """&amp;"""
)"),"linha 7: Step ""Given I visit the edit page for the organisation named ""Friendly"""" should use And instead of Given
linha 14: Multiple empty lines are not allowed
linha 15: Multiple empty lines are not allowed")</f>
        <v>linha 7: Step "Given I visit the edit page for the organisation named "Friendly"" should use And instead of Given
linha 14: Multiple empty lines are not allowed
linha 15: Multiple empty lines are not allowed</v>
      </c>
      <c r="H8" s="20">
        <f>IFERROR(__xludf.DUMMYFUNCTION("IF(G8="""", 0, COUNTA(SPLIT(G8, CHAR(10))))"),3.0)</f>
        <v>3</v>
      </c>
      <c r="I8" s="11" t="s">
        <v>483</v>
      </c>
      <c r="J8" s="20">
        <f>IFERROR(__xludf.DUMMYFUNCTION("IF(I8="""", 0, COUNTA(SPLIT(I8, CHAR(10))))"),2.0)</f>
        <v>2</v>
      </c>
      <c r="K8" s="11" t="str">
        <f>IFERROR(__xludf.DUMMYFUNCTION("IFERROR(
   IF(
     COUNTA(FILTER(SPLIT(I8, CHAR(10)), NOT(REGEXMATCH(SPLIT(I8, CHAR(10)), "" name is too long"")))) = 0,
     """",
     JOIN(CHAR(10), FILTER(SPLIT(I8, CHAR(10)), NOT(REGEXMATCH(SPLIT(I8, CHAR(10)), "" name is too long""))))
   ),
   """&amp;"""
)"),"linha 7: Step ""Given I visit the edit page for the organisation named ""Friendly"""" should use And instead of Given")</f>
        <v>linha 7: Step "Given I visit the edit page for the organisation named "Friendly"" should use And instead of Given</v>
      </c>
      <c r="L8" s="20">
        <f>IFERROR(__xludf.DUMMYFUNCTION("IF(K8="""", 0, COUNTA(SPLIT(K8, CHAR(10))))"),1.0)</f>
        <v>1</v>
      </c>
    </row>
    <row r="9">
      <c r="A9" s="18" t="s">
        <v>41</v>
      </c>
      <c r="B9" s="18" t="s">
        <v>29</v>
      </c>
      <c r="C9" s="18" t="s">
        <v>484</v>
      </c>
      <c r="D9" s="19">
        <v>90.0</v>
      </c>
      <c r="E9" s="11" t="s">
        <v>485</v>
      </c>
      <c r="F9" s="20">
        <f>IFERROR(__xludf.DUMMYFUNCTION("IF(E9="""", 0, COUNTA(SPLIT(E9, CHAR(10))))"),43.0)</f>
        <v>43</v>
      </c>
      <c r="G9" s="11" t="str">
        <f>IFERROR(__xludf.DUMMYFUNCTION("IFERROR(
   IF(
     COUNTA(FILTER(SPLIT(E9, CHAR(10)), NOT(REGEXMATCH(SPLIT(E9, CHAR(10)), "" name is too long"")))) = 0,
     """",
     JOIN(CHAR(10), FILTER(SPLIT(E9, CHAR(10)), NOT(REGEXMATCH(SPLIT(E9, CHAR(10)), "" name is too long""))))
   ),
   """&amp;"""
)"),"linha 9: Multiple empty lines are not allowed
linha 10: Multiple empty lines are not allowed
linha 17: Multiple empty lines are not allowed
linha 18: Multiple empty lines are not allowed
linha 24: Multiple empty lines are not allowed
linha 25: Multiple em"&amp;"pty lines are not allowed
linha 30: Multiple empty lines are not allowed
linha 31: Multiple empty lines are not allowed
linha 37: Step ""Then the address for ""Friendly"" should be ""83 pinner road"""" should use And instead of Then
linha 40: Multiple emp"&amp;"ty lines are not allowed
linha 41: Multiple empty lines are not allowed
linha 46: Multiple empty lines are not allowed
linha 47: Multiple empty lines are not allowed
linha 52: Multiple empty lines are not allowed
linha 53: Multiple empty lines are not all"&amp;"owed
linha 58: Multiple empty lines are not allowed
linha 59: Multiple empty lines are not allowed
linha 64: Multiple empty lines are not allowed
linha 65: Multiple empty lines are not allowed
linha 70: Multiple empty lines are not allowed
linha 71: Multi"&amp;"ple empty lines are not allowed
linha 83: Multiple empty lines are not allowed
linha 84: Multiple empty lines are not allowed
linha 85: Multiple empty lines are not allowed
linha 91: Multiple empty lines are not allowed
linha 92: Multiple empty lines are "&amp;"not allowed
linha 93: Multiple empty lines are not allowed
linha 99: Multiple empty lines are not allowed
linha 100: Multiple empty lines are not allowed
linha 101: Multiple empty lines are not allowed
linha 109: Step ""Then I should not see ""Health"" wi"&amp;"thin ""org-categories"""" should use And instead of Then
linha 112: Multiple empty lines are not allowed
linha 113: Multiple empty lines are not allowed
linha 114: Multiple empty lines are not allowed")</f>
        <v>linha 9: Multiple empty lines are not allowed
linha 10: Multiple empty lines are not allowed
linha 17: Multiple empty lines are not allowed
linha 18: Multiple empty lines are not allowed
linha 24: Multiple empty lines are not allowed
linha 25: Multiple empty lines are not allowed
linha 30: Multiple empty lines are not allowed
linha 31: Multiple empty lines are not allowed
linha 37: Step "Then the address for "Friendly" should be "83 pinner road"" should use And instead of Then
linha 40: Multiple empty lines are not allowed
linha 41: Multiple empty lines are not allowed
linha 46: Multiple empty lines are not allowed
linha 47: Multiple empty lines are not allowed
linha 52: Multiple empty lines are not allowed
linha 53: Multiple empty lines are not allowed
linha 58: Multiple empty lines are not allowed
linha 59: Multiple empty lines are not allowed
linha 64: Multiple empty lines are not allowed
linha 65: Multiple empty lines are not allowed
linha 70: Multiple empty lines are not allowed
linha 71: Multiple empty lines are not allowed
linha 83: Multiple empty lines are not allowed
linha 84: Multiple empty lines are not allowed
linha 85: Multiple empty lines are not allowed
linha 91: Multiple empty lines are not allowed
linha 92: Multiple empty lines are not allowed
linha 93: Multiple empty lines are not allowed
linha 99: Multiple empty lines are not allowed
linha 100: Multiple empty lines are not allowed
linha 101: Multiple empty lines are not allowed
linha 109: Step "Then I should not see "Health" within "org-categories"" should use And instead of Then
linha 112: Multiple empty lines are not allowed
linha 113: Multiple empty lines are not allowed
linha 114: Multiple empty lines are not allowed</v>
      </c>
      <c r="H9" s="20">
        <f>IFERROR(__xludf.DUMMYFUNCTION("IF(G9="""", 0, COUNTA(SPLIT(G9, CHAR(10))))"),34.0)</f>
        <v>34</v>
      </c>
      <c r="I9" s="11" t="s">
        <v>486</v>
      </c>
      <c r="J9" s="20">
        <f>IFERROR(__xludf.DUMMYFUNCTION("IF(I9="""", 0, COUNTA(SPLIT(I9, CHAR(10))))"),11.0)</f>
        <v>11</v>
      </c>
      <c r="K9" s="11" t="str">
        <f>IFERROR(__xludf.DUMMYFUNCTION("IFERROR(
   IF(
     COUNTA(FILTER(SPLIT(I9, CHAR(10)), NOT(REGEXMATCH(SPLIT(I9, CHAR(10)), "" name is too long"")))) = 0,
     """",
     JOIN(CHAR(10), FILTER(SPLIT(I9, CHAR(10)), NOT(REGEXMATCH(SPLIT(I9, CHAR(10)), "" name is too long""))))
   ),
   """&amp;"""
)"),"linha 37: Step ""Then the address for ""Friendly"" should be ""83 pinner road"""" should use And instead of Then
linha 109: Step ""Then I should not see ""Health"" within ""org-categories"""" should use And instead of Then")</f>
        <v>linha 37: Step "Then the address for "Friendly" should be "83 pinner road"" should use And instead of Then
linha 109: Step "Then I should not see "Health" within "org-categories"" should use And instead of Then</v>
      </c>
      <c r="L9" s="20">
        <f>IFERROR(__xludf.DUMMYFUNCTION("IF(K9="""", 0, COUNTA(SPLIT(K9, CHAR(10))))"),2.0)</f>
        <v>2</v>
      </c>
    </row>
    <row r="10">
      <c r="A10" s="18" t="s">
        <v>181</v>
      </c>
      <c r="B10" s="18" t="s">
        <v>182</v>
      </c>
      <c r="C10" s="18" t="s">
        <v>487</v>
      </c>
      <c r="D10" s="19">
        <v>12.0</v>
      </c>
      <c r="E10" s="11" t="s">
        <v>488</v>
      </c>
      <c r="F10" s="20">
        <f>IFERROR(__xludf.DUMMYFUNCTION("IF(E10="""", 0, COUNTA(SPLIT(E10, CHAR(10))))"),6.0)</f>
        <v>6</v>
      </c>
      <c r="G10" s="11" t="str">
        <f>IFERROR(__xludf.DUMMYFUNCTION("IFERROR(
   IF(
     COUNTA(FILTER(SPLIT(E10, CHAR(10)), NOT(REGEXMATCH(SPLIT(E10, CHAR(10)), "" name is too long"")))) = 0,
     """",
     JOIN(CHAR(10), FILTER(SPLIT(E10, CHAR(10)), NOT(REGEXMATCH(SPLIT(E10, CHAR(10)), "" name is too long""))))
   ),
 "&amp;"  """"
)"),"linha 3: Trailing spaces are not allowed
linha 3: Missing Scenario name
linha 8: Multiple empty lines are not allowed
linha 9: Multiple empty lines are not allowed
linha 16: Multiple empty lines are not allowed
linha 17: Multiple empty lines are not allow"&amp;"ed")</f>
        <v>linha 3: Trailing spaces are not allowed
linha 3: Missing Scenario name
linha 8: Multiple empty lines are not allowed
linha 9: Multiple empty lines are not allowed
linha 16: Multiple empty lines are not allowed
linha 17: Multiple empty lines are not allowed</v>
      </c>
      <c r="H10" s="20">
        <f>IFERROR(__xludf.DUMMYFUNCTION("IF(G10="""", 0, COUNTA(SPLIT(G10, CHAR(10))))"),6.0)</f>
        <v>6</v>
      </c>
      <c r="I10" s="11" t="s">
        <v>480</v>
      </c>
      <c r="J10" s="20">
        <f>IFERROR(__xludf.DUMMYFUNCTION("IF(I10="""", 0, COUNTA(SPLIT(I10, CHAR(10))))"),2.0)</f>
        <v>2</v>
      </c>
      <c r="K10" s="11" t="str">
        <f>IFERROR(__xludf.DUMMYFUNCTION("IFERROR(
   IF(
     COUNTA(FILTER(SPLIT(I10, CHAR(10)), NOT(REGEXMATCH(SPLIT(I10, CHAR(10)), "" name is too long"")))) = 0,
     """",
     JOIN(CHAR(10), FILTER(SPLIT(I10, CHAR(10)), NOT(REGEXMATCH(SPLIT(I10, CHAR(10)), "" name is too long""))))
   ),
 "&amp;"  """"
)"),"linha 3: Trailing spaces are not allowed
linha 3: Missing Scenario name")</f>
        <v>linha 3: Trailing spaces are not allowed
linha 3: Missing Scenario name</v>
      </c>
      <c r="L10" s="20">
        <f>IFERROR(__xludf.DUMMYFUNCTION("IF(K10="""", 0, COUNTA(SPLIT(K10, CHAR(10))))"),2.0)</f>
        <v>2</v>
      </c>
    </row>
    <row r="11">
      <c r="A11" s="18" t="s">
        <v>186</v>
      </c>
      <c r="B11" s="18" t="s">
        <v>182</v>
      </c>
      <c r="C11" s="18" t="s">
        <v>489</v>
      </c>
      <c r="D11" s="19">
        <v>38.0</v>
      </c>
      <c r="E11" s="11" t="s">
        <v>490</v>
      </c>
      <c r="F11" s="20">
        <f>IFERROR(__xludf.DUMMYFUNCTION("IF(E11="""", 0, COUNTA(SPLIT(E11, CHAR(10))))"),20.0)</f>
        <v>20</v>
      </c>
      <c r="G11" s="11" t="str">
        <f>IFERROR(__xludf.DUMMYFUNCTION("IFERROR(
   IF(
     COUNTA(FILTER(SPLIT(E11, CHAR(10)), NOT(REGEXMATCH(SPLIT(E11, CHAR(10)), "" name is too long"")))) = 0,
     """",
     JOIN(CHAR(10), FILTER(SPLIT(E11, CHAR(10)), NOT(REGEXMATCH(SPLIT(E11, CHAR(10)), "" name is too long""))))
   ),
 "&amp;"  """"
)"),"linha 8: Multiple empty lines are not allowed
linha 9: Multiple empty lines are not allowed
linha 16: Multiple empty lines are not allowed
linha 17: Multiple empty lines are not allowed
linha 25: Multiple empty lines are not allowed
linha 26: Multiple emp"&amp;"ty lines are not allowed
linha 32: Step ""When I delete the review date"" should not appear after step using keyword then
linha 35: Multiple empty lines are not allowed
linha 36: Multiple empty lines are not allowed")</f>
        <v>linha 8: Multiple empty lines are not allowed
linha 9: Multiple empty lines are not allowed
linha 16: Multiple empty lines are not allowed
linha 17: Multiple empty lines are not allowed
linha 25: Multiple empty lines are not allowed
linha 26: Multiple empty lines are not allowed
linha 32: Step "When I delete the review date" should not appear after step using keyword then
linha 35: Multiple empty lines are not allowed
linha 36: Multiple empty lines are not allowed</v>
      </c>
      <c r="H11" s="20">
        <f>IFERROR(__xludf.DUMMYFUNCTION("IF(G11="""", 0, COUNTA(SPLIT(G11, CHAR(10))))"),9.0)</f>
        <v>9</v>
      </c>
      <c r="I11" s="11" t="s">
        <v>491</v>
      </c>
      <c r="J11" s="20">
        <f>IFERROR(__xludf.DUMMYFUNCTION("IF(I11="""", 0, COUNTA(SPLIT(I11, CHAR(10))))"),12.0)</f>
        <v>12</v>
      </c>
      <c r="K11" s="11" t="str">
        <f>IFERROR(__xludf.DUMMYFUNCTION("IFERROR(
   IF(
     COUNTA(FILTER(SPLIT(I11, CHAR(10)), NOT(REGEXMATCH(SPLIT(I11, CHAR(10)), "" name is too long"")))) = 0,
     """",
     JOIN(CHAR(10), FILTER(SPLIT(I11, CHAR(10)), NOT(REGEXMATCH(SPLIT(I11, CHAR(10)), "" name is too long""))))
   ),
 "&amp;"  """"
)"),"linha 32: Step ""When I delete the review date"" should not appear after step using keyword then")</f>
        <v>linha 32: Step "When I delete the review date" should not appear after step using keyword then</v>
      </c>
      <c r="L11" s="20">
        <f>IFERROR(__xludf.DUMMYFUNCTION("IF(K11="""", 0, COUNTA(SPLIT(K11, CHAR(10))))"),1.0)</f>
        <v>1</v>
      </c>
    </row>
    <row r="12">
      <c r="A12" s="18" t="s">
        <v>190</v>
      </c>
      <c r="B12" s="18" t="s">
        <v>182</v>
      </c>
      <c r="C12" s="18" t="s">
        <v>492</v>
      </c>
      <c r="D12" s="19">
        <v>21.0</v>
      </c>
      <c r="E12" s="11" t="s">
        <v>493</v>
      </c>
      <c r="F12" s="20">
        <f>IFERROR(__xludf.DUMMYFUNCTION("IF(E12="""", 0, COUNTA(SPLIT(E12, CHAR(10))))"),11.0)</f>
        <v>11</v>
      </c>
      <c r="G12" s="11" t="str">
        <f>IFERROR(__xludf.DUMMYFUNCTION("IFERROR(
   IF(
     COUNTA(FILTER(SPLIT(E12, CHAR(10)), NOT(REGEXMATCH(SPLIT(E12, CHAR(10)), "" name is too long"")))) = 0,
     """",
     JOIN(CHAR(10), FILTER(SPLIT(E12, CHAR(10)), NOT(REGEXMATCH(SPLIT(E12, CHAR(10)), "" name is too long""))))
   ),
 "&amp;"  """"
)"),"linha 7: Multiple empty lines are not allowed
linha 8: Multiple empty lines are not allowed
linha 13: Multiple empty lines are not allowed
linha 14: Multiple empty lines are not allowed
linha 21: Multiple empty lines are not allowed
linha 22: Multiple emp"&amp;"ty lines are not allowed
linha 27: Multiple empty lines are not allowed
linha 28: Multiple empty lines are not allowed")</f>
        <v>linha 7: Multiple empty lines are not allowed
linha 8: Multiple empty lines are not allowed
linha 13: Multiple empty lines are not allowed
linha 14: Multiple empty lines are not allowed
linha 21: Multiple empty lines are not allowed
linha 22: Multiple empty lines are not allowed
linha 27: Multiple empty lines are not allowed
linha 28: Multiple empty lines are not allowed</v>
      </c>
      <c r="H12" s="20">
        <f>IFERROR(__xludf.DUMMYFUNCTION("IF(G12="""", 0, COUNTA(SPLIT(G12, CHAR(10))))"),8.0)</f>
        <v>8</v>
      </c>
      <c r="I12" s="11" t="s">
        <v>494</v>
      </c>
      <c r="J12" s="20">
        <f>IFERROR(__xludf.DUMMYFUNCTION("IF(I12="""", 0, COUNTA(SPLIT(I12, CHAR(10))))"),3.0)</f>
        <v>3</v>
      </c>
      <c r="K12" s="11" t="str">
        <f>IFERROR(__xludf.DUMMYFUNCTION("IFERROR(
   IF(
     COUNTA(FILTER(SPLIT(I12, CHAR(10)), NOT(REGEXMATCH(SPLIT(I12, CHAR(10)), "" name is too long"")))) = 0,
     """",
     JOIN(CHAR(10), FILTER(SPLIT(I12, CHAR(10)), NOT(REGEXMATCH(SPLIT(I12, CHAR(10)), "" name is too long""))))
   ),
 "&amp;"  """"
)"),"")</f>
        <v/>
      </c>
      <c r="L12" s="20">
        <f>IFERROR(__xludf.DUMMYFUNCTION("IF(K12="""", 0, COUNTA(SPLIT(K12, CHAR(10))))"),0.0)</f>
        <v>0</v>
      </c>
    </row>
    <row r="13">
      <c r="A13" s="18" t="s">
        <v>194</v>
      </c>
      <c r="B13" s="18" t="s">
        <v>182</v>
      </c>
      <c r="C13" s="18" t="s">
        <v>495</v>
      </c>
      <c r="D13" s="19">
        <v>7.0</v>
      </c>
      <c r="E13" s="11" t="s">
        <v>496</v>
      </c>
      <c r="F13" s="20">
        <f>IFERROR(__xludf.DUMMYFUNCTION("IF(E13="""", 0, COUNTA(SPLIT(E13, CHAR(10))))"),2.0)</f>
        <v>2</v>
      </c>
      <c r="G13" s="11" t="str">
        <f>IFERROR(__xludf.DUMMYFUNCTION("IFERROR(
   IF(
     COUNTA(FILTER(SPLIT(E13, CHAR(10)), NOT(REGEXMATCH(SPLIT(E13, CHAR(10)), "" name is too long"")))) = 0,
     """",
     JOIN(CHAR(10), FILTER(SPLIT(E13, CHAR(10)), NOT(REGEXMATCH(SPLIT(E13, CHAR(10)), "" name is too long""))))
   ),
 "&amp;"  """"
)"),"linha 10: Multiple empty lines are not allowed
linha 11: Multiple empty lines are not allowed")</f>
        <v>linha 10: Multiple empty lines are not allowed
linha 11: Multiple empty lines are not allowed</v>
      </c>
      <c r="H13" s="20">
        <f>IFERROR(__xludf.DUMMYFUNCTION("IF(G13="""", 0, COUNTA(SPLIT(G13, CHAR(10))))"),2.0)</f>
        <v>2</v>
      </c>
      <c r="J13" s="20">
        <f>IFERROR(__xludf.DUMMYFUNCTION("IF(I13="""", 0, COUNTA(SPLIT(I13, CHAR(10))))"),0.0)</f>
        <v>0</v>
      </c>
      <c r="K13" s="11" t="str">
        <f>IFERROR(__xludf.DUMMYFUNCTION("IFERROR(
   IF(
     COUNTA(FILTER(SPLIT(I13, CHAR(10)), NOT(REGEXMATCH(SPLIT(I13, CHAR(10)), "" name is too long"")))) = 0,
     """",
     JOIN(CHAR(10), FILTER(SPLIT(I13, CHAR(10)), NOT(REGEXMATCH(SPLIT(I13, CHAR(10)), "" name is too long""))))
   ),
 "&amp;"  """"
)"),"")</f>
        <v/>
      </c>
      <c r="L13" s="20">
        <f>IFERROR(__xludf.DUMMYFUNCTION("IF(K13="""", 0, COUNTA(SPLIT(K13, CHAR(10))))"),0.0)</f>
        <v>0</v>
      </c>
    </row>
    <row r="14">
      <c r="A14" s="18" t="s">
        <v>198</v>
      </c>
      <c r="B14" s="18" t="s">
        <v>199</v>
      </c>
      <c r="C14" s="18" t="s">
        <v>497</v>
      </c>
      <c r="D14" s="19">
        <v>27.0</v>
      </c>
      <c r="E14" s="11" t="s">
        <v>498</v>
      </c>
      <c r="F14" s="20">
        <f>IFERROR(__xludf.DUMMYFUNCTION("IF(E14="""", 0, COUNTA(SPLIT(E14, CHAR(10))))"),10.0)</f>
        <v>10</v>
      </c>
      <c r="G14" s="11" t="str">
        <f>IFERROR(__xludf.DUMMYFUNCTION("IFERROR(
   IF(
     COUNTA(FILTER(SPLIT(E14, CHAR(10)), NOT(REGEXMATCH(SPLIT(E14, CHAR(10)), "" name is too long"")))) = 0,
     """",
     JOIN(CHAR(10), FILTER(SPLIT(E14, CHAR(10)), NOT(REGEXMATCH(SPLIT(E14, CHAR(10)), "" name is too long""))))
   ),
 "&amp;"  """"
)"),"linha 10: Multiple empty lines are not allowed
linha 11: Multiple empty lines are not allowed
linha 19: Multiple empty lines are not allowed
linha 20: Multiple empty lines are not allowed
linha 27: Multiple empty lines are not allowed
linha 28: Multiple e"&amp;"mpty lines are not allowed
linha 35: Multiple empty lines are not allowed
linha 36: Multiple empty lines are not allowed")</f>
        <v>linha 10: Multiple empty lines are not allowed
linha 11: Multiple empty lines are not allowed
linha 19: Multiple empty lines are not allowed
linha 20: Multiple empty lines are not allowed
linha 27: Multiple empty lines are not allowed
linha 28: Multiple empty lines are not allowed
linha 35: Multiple empty lines are not allowed
linha 36: Multiple empty lines are not allowed</v>
      </c>
      <c r="H14" s="20">
        <f>IFERROR(__xludf.DUMMYFUNCTION("IF(G14="""", 0, COUNTA(SPLIT(G14, CHAR(10))))"),8.0)</f>
        <v>8</v>
      </c>
      <c r="I14" s="11" t="s">
        <v>499</v>
      </c>
      <c r="J14" s="20">
        <f>IFERROR(__xludf.DUMMYFUNCTION("IF(I14="""", 0, COUNTA(SPLIT(I14, CHAR(10))))"),2.0)</f>
        <v>2</v>
      </c>
      <c r="K14" s="11" t="str">
        <f>IFERROR(__xludf.DUMMYFUNCTION("IFERROR(
   IF(
     COUNTA(FILTER(SPLIT(I14, CHAR(10)), NOT(REGEXMATCH(SPLIT(I14, CHAR(10)), "" name is too long"")))) = 0,
     """",
     JOIN(CHAR(10), FILTER(SPLIT(I14, CHAR(10)), NOT(REGEXMATCH(SPLIT(I14, CHAR(10)), "" name is too long""))))
   ),
 "&amp;"  """"
)"),"")</f>
        <v/>
      </c>
      <c r="L14" s="20">
        <f>IFERROR(__xludf.DUMMYFUNCTION("IF(K14="""", 0, COUNTA(SPLIT(K14, CHAR(10))))"),0.0)</f>
        <v>0</v>
      </c>
    </row>
    <row r="15">
      <c r="A15" s="18" t="s">
        <v>203</v>
      </c>
      <c r="B15" s="18" t="s">
        <v>199</v>
      </c>
      <c r="C15" s="18" t="s">
        <v>500</v>
      </c>
      <c r="D15" s="19">
        <v>14.0</v>
      </c>
      <c r="E15" s="11" t="s">
        <v>501</v>
      </c>
      <c r="F15" s="20">
        <f>IFERROR(__xludf.DUMMYFUNCTION("IF(E15="""", 0, COUNTA(SPLIT(E15, CHAR(10))))"),5.0)</f>
        <v>5</v>
      </c>
      <c r="G15" s="11" t="str">
        <f>IFERROR(__xludf.DUMMYFUNCTION("IFERROR(
   IF(
     COUNTA(FILTER(SPLIT(E15, CHAR(10)), NOT(REGEXMATCH(SPLIT(E15, CHAR(10)), "" name is too long"")))) = 0,
     """",
     JOIN(CHAR(10), FILTER(SPLIT(E15, CHAR(10)), NOT(REGEXMATCH(SPLIT(E15, CHAR(10)), "" name is too long""))))
   ),
 "&amp;"  """"
)"),"linha 15: Multiple empty lines are not allowed
linha 16: Multiple empty lines are not allowed")</f>
        <v>linha 15: Multiple empty lines are not allowed
linha 16: Multiple empty lines are not allowed</v>
      </c>
      <c r="H15" s="20">
        <f>IFERROR(__xludf.DUMMYFUNCTION("IF(G15="""", 0, COUNTA(SPLIT(G15, CHAR(10))))"),2.0)</f>
        <v>2</v>
      </c>
      <c r="I15" s="11" t="s">
        <v>502</v>
      </c>
      <c r="J15" s="20">
        <f>IFERROR(__xludf.DUMMYFUNCTION("IF(I15="""", 0, COUNTA(SPLIT(I15, CHAR(10))))"),3.0)</f>
        <v>3</v>
      </c>
      <c r="K15" s="11" t="str">
        <f>IFERROR(__xludf.DUMMYFUNCTION("IFERROR(
   IF(
     COUNTA(FILTER(SPLIT(I15, CHAR(10)), NOT(REGEXMATCH(SPLIT(I15, CHAR(10)), "" name is too long"")))) = 0,
     """",
     JOIN(CHAR(10), FILTER(SPLIT(I15, CHAR(10)), NOT(REGEXMATCH(SPLIT(I15, CHAR(10)), "" name is too long""))))
   ),
 "&amp;"  """"
)"),"")</f>
        <v/>
      </c>
      <c r="L15" s="20">
        <f>IFERROR(__xludf.DUMMYFUNCTION("IF(K15="""", 0, COUNTA(SPLIT(K15, CHAR(10))))"),0.0)</f>
        <v>0</v>
      </c>
    </row>
    <row r="16">
      <c r="A16" s="18" t="s">
        <v>207</v>
      </c>
      <c r="B16" s="18" t="s">
        <v>199</v>
      </c>
      <c r="C16" s="18" t="s">
        <v>503</v>
      </c>
      <c r="D16" s="19">
        <v>18.0</v>
      </c>
      <c r="E16" s="11" t="s">
        <v>504</v>
      </c>
      <c r="F16" s="20">
        <f>IFERROR(__xludf.DUMMYFUNCTION("IF(E16="""", 0, COUNTA(SPLIT(E16, CHAR(10))))"),8.0)</f>
        <v>8</v>
      </c>
      <c r="G16" s="11" t="str">
        <f>IFERROR(__xludf.DUMMYFUNCTION("IFERROR(
   IF(
     COUNTA(FILTER(SPLIT(E16, CHAR(10)), NOT(REGEXMATCH(SPLIT(E16, CHAR(10)), "" name is too long"")))) = 0,
     """",
     JOIN(CHAR(10), FILTER(SPLIT(E16, CHAR(10)), NOT(REGEXMATCH(SPLIT(E16, CHAR(10)), "" name is too long""))))
   ),
 "&amp;"  """"
)"),"linha 11: Multiple empty lines are not allowed
linha 12: Multiple empty lines are not allowed
linha 21: Multiple empty lines are not allowed
linha 22: Multiple empty lines are not allowed")</f>
        <v>linha 11: Multiple empty lines are not allowed
linha 12: Multiple empty lines are not allowed
linha 21: Multiple empty lines are not allowed
linha 22: Multiple empty lines are not allowed</v>
      </c>
      <c r="H16" s="20">
        <f>IFERROR(__xludf.DUMMYFUNCTION("IF(G16="""", 0, COUNTA(SPLIT(G16, CHAR(10))))"),4.0)</f>
        <v>4</v>
      </c>
      <c r="I16" s="11" t="s">
        <v>505</v>
      </c>
      <c r="J16" s="20">
        <f>IFERROR(__xludf.DUMMYFUNCTION("IF(I16="""", 0, COUNTA(SPLIT(I16, CHAR(10))))"),4.0)</f>
        <v>4</v>
      </c>
      <c r="K16" s="11" t="str">
        <f>IFERROR(__xludf.DUMMYFUNCTION("IFERROR(
   IF(
     COUNTA(FILTER(SPLIT(I16, CHAR(10)), NOT(REGEXMATCH(SPLIT(I16, CHAR(10)), "" name is too long"")))) = 0,
     """",
     JOIN(CHAR(10), FILTER(SPLIT(I16, CHAR(10)), NOT(REGEXMATCH(SPLIT(I16, CHAR(10)), "" name is too long""))))
   ),
 "&amp;"  """"
)"),"")</f>
        <v/>
      </c>
      <c r="L16" s="20">
        <f>IFERROR(__xludf.DUMMYFUNCTION("IF(K16="""", 0, COUNTA(SPLIT(K16, CHAR(10))))"),0.0)</f>
        <v>0</v>
      </c>
    </row>
    <row r="17">
      <c r="A17" s="18" t="s">
        <v>211</v>
      </c>
      <c r="B17" s="18" t="s">
        <v>199</v>
      </c>
      <c r="C17" s="18" t="s">
        <v>506</v>
      </c>
      <c r="D17" s="19">
        <v>38.0</v>
      </c>
      <c r="E17" s="11" t="s">
        <v>507</v>
      </c>
      <c r="F17" s="20">
        <f>IFERROR(__xludf.DUMMYFUNCTION("IF(E17="""", 0, COUNTA(SPLIT(E17, CHAR(10))))"),14.0)</f>
        <v>14</v>
      </c>
      <c r="G17" s="11" t="str">
        <f>IFERROR(__xludf.DUMMYFUNCTION("IFERROR(
   IF(
     COUNTA(FILTER(SPLIT(E17, CHAR(10)), NOT(REGEXMATCH(SPLIT(E17, CHAR(10)), "" name is too long"")))) = 0,
     """",
     JOIN(CHAR(10), FILTER(SPLIT(E17, CHAR(10)), NOT(REGEXMATCH(SPLIT(E17, CHAR(10)), "" name is too long""))))
   ),
 "&amp;"  """"
)"),"linha 12: Multiple empty lines are not allowed
linha 13: Multiple empty lines are not allowed
linha 23: Multiple empty lines are not allowed
linha 24: Multiple empty lines are not allowed
linha 33: Multiple empty lines are not allowed
linha 34: Multiple e"&amp;"mpty lines are not allowed
linha 44: Multiple empty lines are not allowed
linha 45: Multiple empty lines are not allowed")</f>
        <v>linha 12: Multiple empty lines are not allowed
linha 13: Multiple empty lines are not allowed
linha 23: Multiple empty lines are not allowed
linha 24: Multiple empty lines are not allowed
linha 33: Multiple empty lines are not allowed
linha 34: Multiple empty lines are not allowed
linha 44: Multiple empty lines are not allowed
linha 45: Multiple empty lines are not allowed</v>
      </c>
      <c r="H17" s="20">
        <f>IFERROR(__xludf.DUMMYFUNCTION("IF(G17="""", 0, COUNTA(SPLIT(G17, CHAR(10))))"),8.0)</f>
        <v>8</v>
      </c>
      <c r="I17" s="11" t="s">
        <v>508</v>
      </c>
      <c r="J17" s="20">
        <f>IFERROR(__xludf.DUMMYFUNCTION("IF(I17="""", 0, COUNTA(SPLIT(I17, CHAR(10))))"),6.0)</f>
        <v>6</v>
      </c>
      <c r="K17" s="11" t="str">
        <f>IFERROR(__xludf.DUMMYFUNCTION("IFERROR(
   IF(
     COUNTA(FILTER(SPLIT(I17, CHAR(10)), NOT(REGEXMATCH(SPLIT(I17, CHAR(10)), "" name is too long"")))) = 0,
     """",
     JOIN(CHAR(10), FILTER(SPLIT(I17, CHAR(10)), NOT(REGEXMATCH(SPLIT(I17, CHAR(10)), "" name is too long""))))
   ),
 "&amp;"  """"
)"),"")</f>
        <v/>
      </c>
      <c r="L17" s="20">
        <f>IFERROR(__xludf.DUMMYFUNCTION("IF(K17="""", 0, COUNTA(SPLIT(K17, CHAR(10))))"),0.0)</f>
        <v>0</v>
      </c>
    </row>
    <row r="18">
      <c r="A18" s="18" t="s">
        <v>215</v>
      </c>
      <c r="B18" s="18" t="s">
        <v>216</v>
      </c>
      <c r="C18" s="18" t="s">
        <v>509</v>
      </c>
      <c r="D18" s="19">
        <v>13.0</v>
      </c>
      <c r="E18" s="11" t="s">
        <v>510</v>
      </c>
      <c r="F18" s="20">
        <f>IFERROR(__xludf.DUMMYFUNCTION("IF(E18="""", 0, COUNTA(SPLIT(E18, CHAR(10))))"),7.0)</f>
        <v>7</v>
      </c>
      <c r="G18" s="11" t="str">
        <f>IFERROR(__xludf.DUMMYFUNCTION("IFERROR(
   IF(
     COUNTA(FILTER(SPLIT(E18, CHAR(10)), NOT(REGEXMATCH(SPLIT(E18, CHAR(10)), "" name is too long"")))) = 0,
     """",
     JOIN(CHAR(10), FILTER(SPLIT(E18, CHAR(10)), NOT(REGEXMATCH(SPLIT(E18, CHAR(10)), "" name is too long""))))
   ),
 "&amp;"  """"
)"),"linha 8: Multiple empty lines are not allowed
linha 9: Multiple empty lines are not allowed
linha 10: Scenario name is already used in: output/6-FeatureEvaluation/featuresToEvaluation/Originais/billabear_billabear/confirm_email_story_processado.feature:3
"&amp;"linha 15: Multiple empty lines are not allowed
linha 16: Multiple empty lines are not allowed")</f>
        <v>linha 8: Multiple empty lines are not allowed
linha 9: Multiple empty lines are not allowed
linha 10: Scenario name is already used in: output/6-FeatureEvaluation/featuresToEvaluation/Originais/billabear_billabear/confirm_email_story_processado.feature:3
linha 15: Multiple empty lines are not allowed
linha 16: Multiple empty lines are not allowed</v>
      </c>
      <c r="H18" s="20">
        <f>IFERROR(__xludf.DUMMYFUNCTION("IF(G18="""", 0, COUNTA(SPLIT(G18, CHAR(10))))"),5.0)</f>
        <v>5</v>
      </c>
      <c r="I18" s="11" t="s">
        <v>511</v>
      </c>
      <c r="J18" s="20">
        <f>IFERROR(__xludf.DUMMYFUNCTION("IF(I18="""", 0, COUNTA(SPLIT(I18, CHAR(10))))"),3.0)</f>
        <v>3</v>
      </c>
      <c r="K18" s="11" t="str">
        <f>IFERROR(__xludf.DUMMYFUNCTION("IFERROR(
   IF(
     COUNTA(FILTER(SPLIT(I18, CHAR(10)), NOT(REGEXMATCH(SPLIT(I18, CHAR(10)), "" name is too long"")))) = 0,
     """",
     JOIN(CHAR(10), FILTER(SPLIT(I18, CHAR(10)), NOT(REGEXMATCH(SPLIT(I18, CHAR(10)), "" name is too long""))))
   ),
 "&amp;"  """"
)"),"linha 10: Scenario name is already used in: output/6-FeatureEvaluation/featuresToEvaluation/Originais/billabear_billabear/confirm_email_story_processado.feature:3")</f>
        <v>linha 10: Scenario name is already used in: output/6-FeatureEvaluation/featuresToEvaluation/Originais/billabear_billabear/confirm_email_story_processado.feature:3</v>
      </c>
      <c r="L18" s="20">
        <f>IFERROR(__xludf.DUMMYFUNCTION("IF(K18="""", 0, COUNTA(SPLIT(K18, CHAR(10))))"),1.0)</f>
        <v>1</v>
      </c>
    </row>
    <row r="19">
      <c r="A19" s="18" t="s">
        <v>220</v>
      </c>
      <c r="B19" s="18" t="s">
        <v>216</v>
      </c>
      <c r="C19" s="18" t="s">
        <v>512</v>
      </c>
      <c r="D19" s="19">
        <v>34.0</v>
      </c>
      <c r="E19" s="11" t="s">
        <v>513</v>
      </c>
      <c r="F19" s="20">
        <f>IFERROR(__xludf.DUMMYFUNCTION("IF(E19="""", 0, COUNTA(SPLIT(E19, CHAR(10))))"),16.0)</f>
        <v>16</v>
      </c>
      <c r="G19" s="11" t="str">
        <f>IFERROR(__xludf.DUMMYFUNCTION("IFERROR(
   IF(
     COUNTA(FILTER(SPLIT(E19, CHAR(10)), NOT(REGEXMATCH(SPLIT(E19, CHAR(10)), "" name is too long"")))) = 0,
     """",
     JOIN(CHAR(10), FILTER(SPLIT(E19, CHAR(10)), NOT(REGEXMATCH(SPLIT(E19, CHAR(10)), "" name is too long""))))
   ),
 "&amp;"  """"
)"),"linha 8: Multiple empty lines are not allowed
linha 9: Multiple empty lines are not allowed
linha 15: Multiple empty lines are not allowed
linha 16: Multiple empty lines are not allowed
linha 24: Multiple empty lines are not allowed
linha 25: Multiple emp"&amp;"ty lines are not allowed
linha 32: Multiple empty lines are not allowed
linha 33: Multiple empty lines are not allowed
linha 34: Scenario name is already used in: output/6-FeatureEvaluation/featuresToEvaluation/Originais/billabear_billabear/create_product"&amp;"_1_story_processado.feature:3
linha 39: Multiple empty lines are not allowed
linha 40: Multiple empty lines are not allowed")</f>
        <v>linha 8: Multiple empty lines are not allowed
linha 9: Multiple empty lines are not allowed
linha 15: Multiple empty lines are not allowed
linha 16: Multiple empty lines are not allowed
linha 24: Multiple empty lines are not allowed
linha 25: Multiple empty lines are not allowed
linha 32: Multiple empty lines are not allowed
linha 33: Multiple empty lines are not allowed
linha 34: Scenario name is already used in: output/6-FeatureEvaluation/featuresToEvaluation/Originais/billabear_billabear/create_product_1_story_processado.feature:3
linha 39: Multiple empty lines are not allowed
linha 40: Multiple empty lines are not allowed</v>
      </c>
      <c r="H19" s="20">
        <f>IFERROR(__xludf.DUMMYFUNCTION("IF(G19="""", 0, COUNTA(SPLIT(G19, CHAR(10))))"),11.0)</f>
        <v>11</v>
      </c>
      <c r="I19" s="11" t="s">
        <v>514</v>
      </c>
      <c r="J19" s="20">
        <f>IFERROR(__xludf.DUMMYFUNCTION("IF(I19="""", 0, COUNTA(SPLIT(I19, CHAR(10))))"),6.0)</f>
        <v>6</v>
      </c>
      <c r="K19" s="11" t="str">
        <f>IFERROR(__xludf.DUMMYFUNCTION("IFERROR(
   IF(
     COUNTA(FILTER(SPLIT(I19, CHAR(10)), NOT(REGEXMATCH(SPLIT(I19, CHAR(10)), "" name is too long"")))) = 0,
     """",
     JOIN(CHAR(10), FILTER(SPLIT(I19, CHAR(10)), NOT(REGEXMATCH(SPLIT(I19, CHAR(10)), "" name is too long""))))
   ),
 "&amp;"  """"
)"),"linha 34: Scenario name is already used in: output/6-FeatureEvaluation/featuresToEvaluation/Originais/billabear_billabear/create_product_1_story_processado.feature:3")</f>
        <v>linha 34: Scenario name is already used in: output/6-FeatureEvaluation/featuresToEvaluation/Originais/billabear_billabear/create_product_1_story_processado.feature:3</v>
      </c>
      <c r="L19" s="20">
        <f>IFERROR(__xludf.DUMMYFUNCTION("IF(K19="""", 0, COUNTA(SPLIT(K19, CHAR(10))))"),1.0)</f>
        <v>1</v>
      </c>
    </row>
    <row r="20">
      <c r="A20" s="18" t="s">
        <v>224</v>
      </c>
      <c r="B20" s="18" t="s">
        <v>216</v>
      </c>
      <c r="C20" s="18" t="s">
        <v>515</v>
      </c>
      <c r="D20" s="19">
        <v>11.0</v>
      </c>
      <c r="E20" s="11" t="s">
        <v>516</v>
      </c>
      <c r="F20" s="20">
        <f>IFERROR(__xludf.DUMMYFUNCTION("IF(E20="""", 0, COUNTA(SPLIT(E20, CHAR(10))))"),5.0)</f>
        <v>5</v>
      </c>
      <c r="G20" s="11" t="str">
        <f>IFERROR(__xludf.DUMMYFUNCTION("IFERROR(
   IF(
     COUNTA(FILTER(SPLIT(E20, CHAR(10)), NOT(REGEXMATCH(SPLIT(E20, CHAR(10)), "" name is too long"")))) = 0,
     """",
     JOIN(CHAR(10), FILTER(SPLIT(E20, CHAR(10)), NOT(REGEXMATCH(SPLIT(E20, CHAR(10)), "" name is too long""))))
   ),
 "&amp;"  """"
)"),"linha 8: Step ""When I generate a receipt for the payment for ""customer.one@example.org"" for 3500"" should use And instead of When
linha 11: Multiple empty lines are not allowed
linha 12: Multiple empty lines are not allowed")</f>
        <v>linha 8: Step "When I generate a receipt for the payment for "customer.one@example.org" for 3500" should use And instead of When
linha 11: Multiple empty lines are not allowed
linha 12: Multiple empty lines are not allowed</v>
      </c>
      <c r="H20" s="20">
        <f>IFERROR(__xludf.DUMMYFUNCTION("IF(G20="""", 0, COUNTA(SPLIT(G20, CHAR(10))))"),3.0)</f>
        <v>3</v>
      </c>
      <c r="I20" s="11" t="s">
        <v>517</v>
      </c>
      <c r="J20" s="20">
        <f>IFERROR(__xludf.DUMMYFUNCTION("IF(I20="""", 0, COUNTA(SPLIT(I20, CHAR(10))))"),3.0)</f>
        <v>3</v>
      </c>
      <c r="K20" s="11" t="str">
        <f>IFERROR(__xludf.DUMMYFUNCTION("IFERROR(
   IF(
     COUNTA(FILTER(SPLIT(I20, CHAR(10)), NOT(REGEXMATCH(SPLIT(I20, CHAR(10)), "" name is too long"")))) = 0,
     """",
     JOIN(CHAR(10), FILTER(SPLIT(I20, CHAR(10)), NOT(REGEXMATCH(SPLIT(I20, CHAR(10)), "" name is too long""))))
   ),
 "&amp;"  """"
)"),"linha 8: Step ""When I generate a receipt for the payment for ""customer.one@example.org"" for 3500"" should use And instead of When")</f>
        <v>linha 8: Step "When I generate a receipt for the payment for "customer.one@example.org" for 3500" should use And instead of When</v>
      </c>
      <c r="L20" s="20">
        <f>IFERROR(__xludf.DUMMYFUNCTION("IF(K20="""", 0, COUNTA(SPLIT(K20, CHAR(10))))"),1.0)</f>
        <v>1</v>
      </c>
    </row>
    <row r="21">
      <c r="A21" s="18" t="s">
        <v>228</v>
      </c>
      <c r="B21" s="18" t="s">
        <v>216</v>
      </c>
      <c r="C21" s="18" t="s">
        <v>518</v>
      </c>
      <c r="D21" s="19">
        <v>15.0</v>
      </c>
      <c r="E21" s="11" t="s">
        <v>519</v>
      </c>
      <c r="F21" s="20">
        <f>IFERROR(__xludf.DUMMYFUNCTION("IF(E21="""", 0, COUNTA(SPLIT(E21, CHAR(10))))"),4.0)</f>
        <v>4</v>
      </c>
      <c r="G21" s="11" t="str">
        <f>IFERROR(__xludf.DUMMYFUNCTION("IFERROR(
   IF(
     COUNTA(FILTER(SPLIT(E21, CHAR(10)), NOT(REGEXMATCH(SPLIT(E21, CHAR(10)), "" name is too long"")))) = 0,
     """",
     JOIN(CHAR(10), FILTER(SPLIT(E21, CHAR(10)), NOT(REGEXMATCH(SPLIT(E21, CHAR(10)), "" name is too long""))))
   ),
 "&amp;"  """"
)"),"linha 10: Multiple empty lines are not allowed
linha 11: Multiple empty lines are not allowed
linha 20: Multiple empty lines are not allowed
linha 21: Multiple empty lines are not allowed")</f>
        <v>linha 10: Multiple empty lines are not allowed
linha 11: Multiple empty lines are not allowed
linha 20: Multiple empty lines are not allowed
linha 21: Multiple empty lines are not allowed</v>
      </c>
      <c r="H21" s="20">
        <f>IFERROR(__xludf.DUMMYFUNCTION("IF(G21="""", 0, COUNTA(SPLIT(G21, CHAR(10))))"),4.0)</f>
        <v>4</v>
      </c>
      <c r="J21" s="20">
        <f>IFERROR(__xludf.DUMMYFUNCTION("IF(I21="""", 0, COUNTA(SPLIT(I21, CHAR(10))))"),0.0)</f>
        <v>0</v>
      </c>
      <c r="K21" s="11" t="str">
        <f>IFERROR(__xludf.DUMMYFUNCTION("IFERROR(
   IF(
     COUNTA(FILTER(SPLIT(I21, CHAR(10)), NOT(REGEXMATCH(SPLIT(I21, CHAR(10)), "" name is too long"")))) = 0,
     """",
     JOIN(CHAR(10), FILTER(SPLIT(I21, CHAR(10)), NOT(REGEXMATCH(SPLIT(I21, CHAR(10)), "" name is too long""))))
   ),
 "&amp;"  """"
)"),"")</f>
        <v/>
      </c>
      <c r="L21" s="20">
        <f>IFERROR(__xludf.DUMMYFUNCTION("IF(K21="""", 0, COUNTA(SPLIT(K21, CHAR(10))))"),0.0)</f>
        <v>0</v>
      </c>
    </row>
    <row r="22">
      <c r="A22" s="18" t="s">
        <v>232</v>
      </c>
      <c r="B22" s="18" t="s">
        <v>233</v>
      </c>
      <c r="C22" s="18" t="s">
        <v>520</v>
      </c>
      <c r="D22" s="19">
        <v>50.0</v>
      </c>
      <c r="E22" s="11" t="s">
        <v>521</v>
      </c>
      <c r="F22" s="20">
        <f>IFERROR(__xludf.DUMMYFUNCTION("IF(E22="""", 0, COUNTA(SPLIT(E22, CHAR(10))))"),20.0)</f>
        <v>20</v>
      </c>
      <c r="G22" s="11" t="str">
        <f>IFERROR(__xludf.DUMMYFUNCTION("IFERROR(
   IF(
     COUNTA(FILTER(SPLIT(E22, CHAR(10)), NOT(REGEXMATCH(SPLIT(E22, CHAR(10)), "" name is too long"")))) = 0,
     """",
     JOIN(CHAR(10), FILTER(SPLIT(E22, CHAR(10)), NOT(REGEXMATCH(SPLIT(E22, CHAR(10)), "" name is too long""))))
   ),
 "&amp;"  """"
)"),"linha 9: Step ""When I create a new bank statement with a CHF account journal"" should not appear after step using keyword then
linha 16: Multiple empty lines are not allowed
linha 17: Multiple empty lines are not allowed
linha 18: Element Scenario too lo"&amp;"ng: actual 20, expected 15
linha 24: Step ""Given I have recorded on the 1 jan 2009 an invoice (in_invoice) of 1000,0 CHF without tax called MySecondSupplierInvoiceBankStatement"" should not appear after step using keyword then
linha 25: Step ""When I pre"&amp;"ss the validate button"" should not appear after step using keyword then
linha 28: Step ""Given I create a new bank statement called MyBankStatement with a CHF account journal"" should not appear after step using keyword then
linha 31: Step ""Given I take"&amp;" the created invoice MyFirstSupplierInvoiceBankStatement"" should not appear after step using keyword then
linha 32: Step ""When I call the Pay invoice wizard"" should not appear after step using keyword then
linha 37: Step ""Given I take the bank stateme"&amp;"nt called MyBankStatement"" should not appear after step using keyword then
linha 38: Step ""When push the confirm button of the statement it should raise a warning because one invoice is already reconciled"" should not appear after step using keyword the"&amp;"n
linha 41: Multiple empty lines are not allowed
linha 42: Multiple empty lines are not allowed")</f>
        <v>linha 9: Step "When I create a new bank statement with a CHF account journal" should not appear after step using keyword then
linha 16: Multiple empty lines are not allowed
linha 17: Multiple empty lines are not allowed
linha 18: Element Scenario too long: actual 20, expected 15
linha 24: Step "Given I have recorded on the 1 jan 2009 an invoice (in_invoice) of 1000,0 CHF without tax called MySecondSupplierInvoiceBankStatement" should not appear after step using keyword then
linha 25: Step "When I press the validate button" should not appear after step using keyword then
linha 28: Step "Given I create a new bank statement called MyBankStatement with a CHF account journal" should not appear after step using keyword then
linha 31: Step "Given I take the created invoice MyFirstSupplierInvoiceBankStatement" should not appear after step using keyword then
linha 32: Step "When I call the Pay invoice wizard" should not appear after step using keyword then
linha 37: Step "Given I take the bank statement called MyBankStatement" should not appear after step using keyword then
linha 38: Step "When push the confirm button of the statement it should raise a warning because one invoice is already reconciled" should not appear after step using keyword then
linha 41: Multiple empty lines are not allowed
linha 42: Multiple empty lines are not allowed</v>
      </c>
      <c r="H22" s="20">
        <f>IFERROR(__xludf.DUMMYFUNCTION("IF(G22="""", 0, COUNTA(SPLIT(G22, CHAR(10))))"),13.0)</f>
        <v>13</v>
      </c>
      <c r="I22" s="11" t="s">
        <v>522</v>
      </c>
      <c r="J22" s="20">
        <f>IFERROR(__xludf.DUMMYFUNCTION("IF(I22="""", 0, COUNTA(SPLIT(I22, CHAR(10))))"),16.0)</f>
        <v>16</v>
      </c>
      <c r="K22" s="11" t="str">
        <f>IFERROR(__xludf.DUMMYFUNCTION("IFERROR(
   IF(
     COUNTA(FILTER(SPLIT(I22, CHAR(10)), NOT(REGEXMATCH(SPLIT(I22, CHAR(10)), "" name is too long"")))) = 0,
     """",
     JOIN(CHAR(10), FILTER(SPLIT(I22, CHAR(10)), NOT(REGEXMATCH(SPLIT(I22, CHAR(10)), "" name is too long""))))
   ),
 "&amp;"  """"
)"),"linha 9: Step ""When I create a new bank statement with a CHF account journal"" should not appear after step using keyword then
linha 18: Element Scenario too long: actual 20, expected 15
linha 24: Step ""Given I have recorded on the 1 jan 2009 an invoice"&amp;" (in_invoice) of 1000,0 CHF without tax called MySecondSupplierInvoiceBankStatement"" should not appear after step using keyword then
linha 25: Step ""When I press the validate button"" should not appear after step using keyword then
linha 28: Step ""Give"&amp;"n I create a new bank statement called MyBankStatement with a CHF account journal"" should not appear after step using keyword then
linha 31: Step ""Given I take the created invoice MyFirstSupplierInvoiceBankStatement"" should not appear after step using "&amp;"keyword then
linha 32: Step ""When I call the Pay invoice wizard"" should not appear after step using keyword then
linha 37: Step ""Given I take the bank statement called MyBankStatement"" should not appear after step using keyword then
linha 38: Step ""W"&amp;"hen push the confirm button of the statement it should raise a warning because one invoice is already reconciled"" should not appear after step using keyword then")</f>
        <v>linha 9: Step "When I create a new bank statement with a CHF account journal" should not appear after step using keyword then
linha 18: Element Scenario too long: actual 20, expected 15
linha 24: Step "Given I have recorded on the 1 jan 2009 an invoice (in_invoice) of 1000,0 CHF without tax called MySecondSupplierInvoiceBankStatement" should not appear after step using keyword then
linha 25: Step "When I press the validate button" should not appear after step using keyword then
linha 28: Step "Given I create a new bank statement called MyBankStatement with a CHF account journal" should not appear after step using keyword then
linha 31: Step "Given I take the created invoice MyFirstSupplierInvoiceBankStatement" should not appear after step using keyword then
linha 32: Step "When I call the Pay invoice wizard" should not appear after step using keyword then
linha 37: Step "Given I take the bank statement called MyBankStatement" should not appear after step using keyword then
linha 38: Step "When push the confirm button of the statement it should raise a warning because one invoice is already reconciled" should not appear after step using keyword then</v>
      </c>
      <c r="L22" s="20">
        <f>IFERROR(__xludf.DUMMYFUNCTION("IF(K22="""", 0, COUNTA(SPLIT(K22, CHAR(10))))"),9.0)</f>
        <v>9</v>
      </c>
    </row>
    <row r="23">
      <c r="A23" s="18" t="s">
        <v>237</v>
      </c>
      <c r="B23" s="18" t="s">
        <v>233</v>
      </c>
      <c r="C23" s="18" t="s">
        <v>523</v>
      </c>
      <c r="D23" s="19">
        <v>24.0</v>
      </c>
      <c r="E23" s="11" t="s">
        <v>524</v>
      </c>
      <c r="F23" s="20">
        <f>IFERROR(__xludf.DUMMYFUNCTION("IF(E23="""", 0, COUNTA(SPLIT(E23, CHAR(10))))"),8.0)</f>
        <v>8</v>
      </c>
      <c r="G23" s="11" t="str">
        <f>IFERROR(__xludf.DUMMYFUNCTION("IFERROR(
   IF(
     COUNTA(FILTER(SPLIT(E23, CHAR(10)), NOT(REGEXMATCH(SPLIT(E23, CHAR(10)), "" name is too long"")))) = 0,
     """",
     JOIN(CHAR(10), FILTER(SPLIT(E23, CHAR(10)), NOT(REGEXMATCH(SPLIT(E23, CHAR(10)), "" name is too long""))))
   ),
 "&amp;"  """"
)"),"linha 3: Element Scenario too long: actual 16, expected 15
linha 8: Step ""When I call the Pay invoice wizard"" should not appear after step using keyword then
linha 11: Step ""When I call the Pay invoice wizard"" should not appear after step using keywor"&amp;"d then
linha 14: Step ""When I call the Pay invoice wizard"" should not appear after step using keyword then
linha 17: Step ""When I call the Pay invoice wizard"" should not appear after step using keyword then
linha 22: Multiple empty lines are not allow"&amp;"ed
linha 23: Multiple empty lines are not allowed")</f>
        <v>linha 3: Element Scenario too long: actual 16, expected 15
linha 8: Step "When I call the Pay invoice wizard" should not appear after step using keyword then
linha 11: Step "When I call the Pay invoice wizard" should not appear after step using keyword then
linha 14: Step "When I call the Pay invoice wizard" should not appear after step using keyword then
linha 17: Step "When I call the Pay invoice wizard" should not appear after step using keyword then
linha 22: Multiple empty lines are not allowed
linha 23: Multiple empty lines are not allowed</v>
      </c>
      <c r="H23" s="20">
        <f>IFERROR(__xludf.DUMMYFUNCTION("IF(G23="""", 0, COUNTA(SPLIT(G23, CHAR(10))))"),7.0)</f>
        <v>7</v>
      </c>
      <c r="I23" s="11" t="s">
        <v>525</v>
      </c>
      <c r="J23" s="20">
        <f>IFERROR(__xludf.DUMMYFUNCTION("IF(I23="""", 0, COUNTA(SPLIT(I23, CHAR(10))))"),6.0)</f>
        <v>6</v>
      </c>
      <c r="K23" s="11" t="str">
        <f>IFERROR(__xludf.DUMMYFUNCTION("IFERROR(
   IF(
     COUNTA(FILTER(SPLIT(I23, CHAR(10)), NOT(REGEXMATCH(SPLIT(I23, CHAR(10)), "" name is too long"")))) = 0,
     """",
     JOIN(CHAR(10), FILTER(SPLIT(I23, CHAR(10)), NOT(REGEXMATCH(SPLIT(I23, CHAR(10)), "" name is too long""))))
   ),
 "&amp;"  """"
)"),"linha 3: Element Scenario too long: actual 16, expected 15
linha 8: Step ""When I call the Pay invoice wizard"" should not appear after step using keyword then
linha 11: Step ""When I call the Pay invoice wizard"" should not appear after step using keywor"&amp;"d then
linha 14: Step ""When I call the Pay invoice wizard"" should not appear after step using keyword then
linha 17: Step ""When I call the Pay invoice wizard"" should not appear after step using keyword then")</f>
        <v>linha 3: Element Scenario too long: actual 16, expected 15
linha 8: Step "When I call the Pay invoice wizard" should not appear after step using keyword then
linha 11: Step "When I call the Pay invoice wizard" should not appear after step using keyword then
linha 14: Step "When I call the Pay invoice wizard" should not appear after step using keyword then
linha 17: Step "When I call the Pay invoice wizard" should not appear after step using keyword then</v>
      </c>
      <c r="L23" s="20">
        <f>IFERROR(__xludf.DUMMYFUNCTION("IF(K23="""", 0, COUNTA(SPLIT(K23, CHAR(10))))"),5.0)</f>
        <v>5</v>
      </c>
    </row>
    <row r="24">
      <c r="A24" s="18" t="s">
        <v>241</v>
      </c>
      <c r="B24" s="18" t="s">
        <v>233</v>
      </c>
      <c r="C24" s="18" t="s">
        <v>526</v>
      </c>
      <c r="D24" s="19">
        <v>72.0</v>
      </c>
      <c r="E24" s="11" t="s">
        <v>527</v>
      </c>
      <c r="F24" s="20">
        <f>IFERROR(__xludf.DUMMYFUNCTION("IF(E24="""", 0, COUNTA(SPLIT(E24, CHAR(10))))"),29.0)</f>
        <v>29</v>
      </c>
      <c r="G24" s="11" t="str">
        <f>IFERROR(__xludf.DUMMYFUNCTION("IFERROR(
   IF(
     COUNTA(FILTER(SPLIT(E24, CHAR(10)), NOT(REGEXMATCH(SPLIT(E24, CHAR(10)), "" name is too long"")))) = 0,
     """",
     JOIN(CHAR(10), FILTER(SPLIT(E24, CHAR(10)), NOT(REGEXMATCH(SPLIT(E24, CHAR(10)), "" name is too long""))))
   ),
 "&amp;"  """"
)"),"linha 6: Step ""Given I need a ""sale.order.line"" with name: SO Line 1 Device Reseller and oid: scenario.so_reseller_line1"" should use And instead of Given
linha 9: Multiple empty lines are not allowed
linha 10: Multiple empty lines are not allowed
linh"&amp;"a 11: Element Scenario too long: actual 16, expected 15
linha 17: Step ""When I press the create invoice button from SO"" should not appear after step using keyword then
linha 20: Step ""Given I take the related invoice"" should not appear after step usin"&amp;"g keyword then
linha 22: Step ""When I press the validate button"" should not appear after step using keyword then
linha 24: Step ""Given I take the related invoice"" should not appear after step using keyword then
linha 29: Multiple empty lines are not a"&amp;"llowed
linha 30: Multiple empty lines are not allowed
linha 31: Element Scenario too long: actual 23, expected 15
linha 38: Step ""When I press the create invoice button from SO"" should not appear after step using keyword then
linha 41: Step ""Given I ta"&amp;"ke the related invoice"" should not appear after step using keyword then
linha 43: Step ""When I press the validate button"" should not appear after step using keyword then
linha 45: Step ""Given I take the related invoice"" should not appear after step u"&amp;"sing keyword then
linha 46: Step ""When I press the cancel button on this invoice"" should not appear after step using keyword then
linha 48: Step ""Given I take the related invoice"" should not appear after step using keyword then
linha 49: Step ""When t"&amp;"hen I press the set to draft button"" should not appear after step using keyword then
linha 52: Step ""Given I take the related invoice"" should not appear after step using keyword then
linha 53: Step ""When I press the validate button"" should not appear"&amp;" after step using keyword then
linha 57: Multiple empty lines are not allowed
linha 58: Multiple empty lines are not allowed")</f>
        <v>linha 6: Step "Given I need a "sale.order.line" with name: SO Line 1 Device Reseller and oid: scenario.so_reseller_line1" should use And instead of Given
linha 9: Multiple empty lines are not allowed
linha 10: Multiple empty lines are not allowed
linha 11: Element Scenario too long: actual 16, expected 15
linha 17: Step "When I press the create invoice button from SO" should not appear after step using keyword then
linha 20: Step "Given I take the related invoice" should not appear after step using keyword then
linha 22: Step "When I press the validate button" should not appear after step using keyword then
linha 24: Step "Given I take the related invoice" should not appear after step using keyword then
linha 29: Multiple empty lines are not allowed
linha 30: Multiple empty lines are not allowed
linha 31: Element Scenario too long: actual 23, expected 15
linha 38: Step "When I press the create invoice button from SO" should not appear after step using keyword then
linha 41: Step "Given I take the related invoice" should not appear after step using keyword then
linha 43: Step "When I press the validate button" should not appear after step using keyword then
linha 45: Step "Given I take the related invoice" should not appear after step using keyword then
linha 46: Step "When I press the cancel button on this invoice" should not appear after step using keyword then
linha 48: Step "Given I take the related invoice" should not appear after step using keyword then
linha 49: Step "When then I press the set to draft button" should not appear after step using keyword then
linha 52: Step "Given I take the related invoice" should not appear after step using keyword then
linha 53: Step "When I press the validate button" should not appear after step using keyword then
linha 57: Multiple empty lines are not allowed
linha 58: Multiple empty lines are not allowed</v>
      </c>
      <c r="H24" s="20">
        <f>IFERROR(__xludf.DUMMYFUNCTION("IF(G24="""", 0, COUNTA(SPLIT(G24, CHAR(10))))"),22.0)</f>
        <v>22</v>
      </c>
      <c r="I24" s="11" t="s">
        <v>528</v>
      </c>
      <c r="J24" s="20">
        <f>IFERROR(__xludf.DUMMYFUNCTION("IF(I24="""", 0, COUNTA(SPLIT(I24, CHAR(10))))"),23.0)</f>
        <v>23</v>
      </c>
      <c r="K24" s="11" t="str">
        <f>IFERROR(__xludf.DUMMYFUNCTION("IFERROR(
   IF(
     COUNTA(FILTER(SPLIT(I24, CHAR(10)), NOT(REGEXMATCH(SPLIT(I24, CHAR(10)), "" name is too long"")))) = 0,
     """",
     JOIN(CHAR(10), FILTER(SPLIT(I24, CHAR(10)), NOT(REGEXMATCH(SPLIT(I24, CHAR(10)), "" name is too long""))))
   ),
 "&amp;"  """"
)"),"linha 6: Step ""Given I need a ""sale.order.line"" with name: SO Line 1 Device Reseller and oid: scenario.so_reseller_line1"" should use And instead of Given
linha 11: Element Scenario too long: actual 16, expected 15
linha 17: Step ""When I press the cre"&amp;"ate invoice button from SO"" should not appear after step using keyword then
linha 20: Step ""Given I take the related invoice"" should not appear after step using keyword then
linha 22: Step ""When I press the validate button"" should not appear after st"&amp;"ep using keyword then
linha 24: Step ""Given I take the related invoice"" should not appear after step using keyword then
linha 31: Element Scenario too long: actual 23, expected 15
linha 38: Step ""When I press the create invoice button from SO"" should "&amp;"not appear after step using keyword then
linha 41: Step ""Given I take the related invoice"" should not appear after step using keyword then
linha 43: Step ""When I press the validate button"" should not appear after step using keyword then
linha 45: Step"&amp;" ""Given I take the related invoice"" should not appear after step using keyword then
linha 46: Step ""When I press the cancel button on this invoice"" should not appear after step using keyword then
linha 48: Step ""Given I take the related invoice"" sho"&amp;"uld not appear after step using keyword then
linha 49: Step ""When then I press the set to draft button"" should not appear after step using keyword then
linha 52: Step ""Given I take the related invoice"" should not appear after step using keyword then
l"&amp;"inha 53: Step ""When I press the validate button"" should not appear after step using keyword then")</f>
        <v>linha 6: Step "Given I need a "sale.order.line" with name: SO Line 1 Device Reseller and oid: scenario.so_reseller_line1" should use And instead of Given
linha 11: Element Scenario too long: actual 16, expected 15
linha 17: Step "When I press the create invoice button from SO" should not appear after step using keyword then
linha 20: Step "Given I take the related invoice" should not appear after step using keyword then
linha 22: Step "When I press the validate button" should not appear after step using keyword then
linha 24: Step "Given I take the related invoice" should not appear after step using keyword then
linha 31: Element Scenario too long: actual 23, expected 15
linha 38: Step "When I press the create invoice button from SO" should not appear after step using keyword then
linha 41: Step "Given I take the related invoice" should not appear after step using keyword then
linha 43: Step "When I press the validate button" should not appear after step using keyword then
linha 45: Step "Given I take the related invoice" should not appear after step using keyword then
linha 46: Step "When I press the cancel button on this invoice" should not appear after step using keyword then
linha 48: Step "Given I take the related invoice" should not appear after step using keyword then
linha 49: Step "When then I press the set to draft button" should not appear after step using keyword then
linha 52: Step "Given I take the related invoice" should not appear after step using keyword then
linha 53: Step "When I press the validate button" should not appear after step using keyword then</v>
      </c>
      <c r="L24" s="20">
        <f>IFERROR(__xludf.DUMMYFUNCTION("IF(K24="""", 0, COUNTA(SPLIT(K24, CHAR(10))))"),16.0)</f>
        <v>16</v>
      </c>
    </row>
    <row r="25">
      <c r="A25" s="18" t="s">
        <v>245</v>
      </c>
      <c r="B25" s="18" t="s">
        <v>233</v>
      </c>
      <c r="C25" s="18" t="s">
        <v>529</v>
      </c>
      <c r="D25" s="19">
        <v>56.0</v>
      </c>
      <c r="E25" s="11" t="s">
        <v>530</v>
      </c>
      <c r="F25" s="20">
        <f>IFERROR(__xludf.DUMMYFUNCTION("IF(E25="""", 0, COUNTA(SPLIT(E25, CHAR(10))))"),24.0)</f>
        <v>24</v>
      </c>
      <c r="G25" s="11" t="str">
        <f>IFERROR(__xludf.DUMMYFUNCTION("IFERROR(
   IF(
     COUNTA(FILTER(SPLIT(E25, CHAR(10)), NOT(REGEXMATCH(SPLIT(E25, CHAR(10)), "" name is too long"")))) = 0,
     """",
     JOIN(CHAR(10), FILTER(SPLIT(E25, CHAR(10)), NOT(REGEXMATCH(SPLIT(E25, CHAR(10)), "" name is too long""))))
   ),
 "&amp;"  """"
)"),"linha 9: Multiple empty lines are not allowed
linha 10: Multiple empty lines are not allowed
linha 14: Step ""Given I take the first found partner to set @partner variable"" should not appear after step using keyword when
linha 19: Multiple empty lines ar"&amp;"e not allowed
linha 20: Multiple empty lines are not allowed
linha 27: Multiple empty lines are not allowed
linha 28: Multiple empty lines are not allowed
linha 34: Multiple empty lines are not allowed
linha 35: Multiple empty lines are not allowed
linha "&amp;"40: Step ""When I change the partner name to ""Demour sa"""" should not appear after step using keyword then
linha 43: Multiple empty lines are not allowed
linha 44: Multiple empty lines are not allowed
linha 50: Multiple empty lines are not allowed
linha"&amp;" 51: Multiple empty lines are not allowed
linha 56: Step ""Given I need a ""res.partner.address"" with reference ""partner_address_rincewind"""" should not appear after step using keyword then
linha 57: Step ""When I update it with values:"" should not ap"&amp;"pear after step using keyword then
linha 60: Multiple empty lines are not allowed
linha 61: Multiple empty lines are not allowed
linha 65: Multiple empty lines are not allowed
linha 66: Multiple empty lines are not allowed")</f>
        <v>linha 9: Multiple empty lines are not allowed
linha 10: Multiple empty lines are not allowed
linha 14: Step "Given I take the first found partner to set @partner variable" should not appear after step using keyword when
linha 19: Multiple empty lines are not allowed
linha 20: Multiple empty lines are not allowed
linha 27: Multiple empty lines are not allowed
linha 28: Multiple empty lines are not allowed
linha 34: Multiple empty lines are not allowed
linha 35: Multiple empty lines are not allowed
linha 40: Step "When I change the partner name to "Demour sa"" should not appear after step using keyword then
linha 43: Multiple empty lines are not allowed
linha 44: Multiple empty lines are not allowed
linha 50: Multiple empty lines are not allowed
linha 51: Multiple empty lines are not allowed
linha 56: Step "Given I need a "res.partner.address" with reference "partner_address_rincewind"" should not appear after step using keyword then
linha 57: Step "When I update it with values:" should not appear after step using keyword then
linha 60: Multiple empty lines are not allowed
linha 61: Multiple empty lines are not allowed
linha 65: Multiple empty lines are not allowed
linha 66: Multiple empty lines are not allowed</v>
      </c>
      <c r="H25" s="20">
        <f>IFERROR(__xludf.DUMMYFUNCTION("IF(G25="""", 0, COUNTA(SPLIT(G25, CHAR(10))))"),20.0)</f>
        <v>20</v>
      </c>
      <c r="I25" s="11" t="s">
        <v>531</v>
      </c>
      <c r="J25" s="20">
        <f>IFERROR(__xludf.DUMMYFUNCTION("IF(I25="""", 0, COUNTA(SPLIT(I25, CHAR(10))))"),8.0)</f>
        <v>8</v>
      </c>
      <c r="K25" s="11" t="str">
        <f>IFERROR(__xludf.DUMMYFUNCTION("IFERROR(
   IF(
     COUNTA(FILTER(SPLIT(I25, CHAR(10)), NOT(REGEXMATCH(SPLIT(I25, CHAR(10)), "" name is too long"")))) = 0,
     """",
     JOIN(CHAR(10), FILTER(SPLIT(I25, CHAR(10)), NOT(REGEXMATCH(SPLIT(I25, CHAR(10)), "" name is too long""))))
   ),
 "&amp;"  """"
)"),"linha 14: Step ""Given I take the first found partner to set @partner variable"" should not appear after step using keyword when
linha 40: Step ""When I change the partner name to ""Demour sa"""" should not appear after step using keyword then
linha 56: S"&amp;"tep ""Given I need a ""res.partner.address"" with reference ""partner_address_rincewind"""" should not appear after step using keyword then
linha 57: Step ""When I update it with values:"" should not appear after step using keyword then")</f>
        <v>linha 14: Step "Given I take the first found partner to set @partner variable" should not appear after step using keyword when
linha 40: Step "When I change the partner name to "Demour sa"" should not appear after step using keyword then
linha 56: Step "Given I need a "res.partner.address" with reference "partner_address_rincewind"" should not appear after step using keyword then
linha 57: Step "When I update it with values:" should not appear after step using keyword then</v>
      </c>
      <c r="L25" s="20">
        <f>IFERROR(__xludf.DUMMYFUNCTION("IF(K25="""", 0, COUNTA(SPLIT(K25, CHAR(10))))"),4.0)</f>
        <v>4</v>
      </c>
    </row>
    <row r="26">
      <c r="A26" s="18" t="s">
        <v>45</v>
      </c>
      <c r="B26" s="18" t="s">
        <v>46</v>
      </c>
      <c r="C26" s="18" t="s">
        <v>532</v>
      </c>
      <c r="D26" s="19">
        <v>194.0</v>
      </c>
      <c r="E26" s="11" t="s">
        <v>533</v>
      </c>
      <c r="F26" s="20">
        <f>IFERROR(__xludf.DUMMYFUNCTION("IF(E26="""", 0, COUNTA(SPLIT(E26, CHAR(10))))"),37.0)</f>
        <v>37</v>
      </c>
      <c r="G26" s="11" t="str">
        <f>IFERROR(__xludf.DUMMYFUNCTION("IFERROR(
   IF(
     COUNTA(FILTER(SPLIT(E26, CHAR(10)), NOT(REGEXMATCH(SPLIT(E26, CHAR(10)), "" name is too long"")))) = 0,
     """",
     JOIN(CHAR(10), FILTER(SPLIT(E26, CHAR(10)), NOT(REGEXMATCH(SPLIT(E26, CHAR(10)), "" name is too long""))))
   ),
 "&amp;"  """"
)"),"linha 3: Element Scenario too long: actual 50, expected 15
linha 9: Step ""When I click on dashboard menu ""Bookings"" of ""offerer"""" should not appear after step using keyword then
linha 14: Step ""When I click on dashboard menu ""Listings"" of ""offer"&amp;"er"""" should not appear after step using keyword then
linha 19: Step ""When I click on dashboard menu ""Payments"" of ""offerer"""" should not appear after step using keyword then
linha 24: Step ""When I click on dashboard menu ""Comments"" of ""offerer"&amp;""""" should not appear after step using keyword then
linha 30: Step ""When I click on the element with css selector "".form-radio span.jcf-unchecked"""" should not appear after step using keyword then
linha 36: Step ""When I click on dashboard menu ""Prof"&amp;"ile"" of ""offerer"""" should not appear after step using keyword then
linha 42: Step ""When I follow ""Payment information"""" should not appear after step using keyword then
linha 48: Step ""When I follow ""Contact information"""" should not appear afte"&amp;"r step using keyword then
linha 55: Multiple empty lines are not allowed
linha 56: Multiple empty lines are not allowed
linha 57: Element Scenario too long: actual 57, expected 15
linha 62: Step ""When I follow ""Edit"""" should not appear after step usin"&amp;"g keyword then
linha 69: Step ""When I follow ""Price &amp; conditions"""" should not appear after step using keyword then
linha 76: Step ""When I follow ""Calendar"""" should not appear after step using keyword then
linha 83: Step ""When I follow ""Photos"""&amp;""" should not appear after step using keyword then
linha 90: Step ""When I follow ""Characteristics"""" should not appear after step using keyword then
linha 97: Step ""When I follow ""Various information"""" should not appear after step using keyword the"&amp;"n
linha 104: Step ""When I click on dashboard menu ""Listings"" of ""offerer"""" should not appear after step using keyword then
linha 107: Step ""When I follow ""Show"""" should not appear after step using keyword then
linha 116: Multiple empty lines are"&amp;" not allowed
linha 117: Multiple empty lines are not allowed
linha 118: Element Scenario too long: actual 50, expected 15
linha 125: Step ""When I click on dashboard menu ""Bookings"" of ""asker"""" should not appear after step using keyword then
linha 13"&amp;"0: Step ""When I click on dashboard menu ""Payments"" of ""asker"""" should not appear after step using keyword then
linha 135: Step ""When I click on the element with css selector "".form-radio span.jcf-unchecked"""" should not appear after step using ke"&amp;"yword then
linha 140: Step ""When I click on dashboard menu ""Comments"" of ""asker"""" should not appear after step using keyword then
linha 151: Step ""When I click on dashboard menu ""Profile"" of ""asker"""" should not appear after step using keyword "&amp;"then
linha 157: Step ""When I follow ""Payment information"""" should not appear after step using keyword then
linha 163: Step ""When I follow ""Contact information"""" should not appear after step using keyword then
linha 170: Multiple empty lines are no"&amp;"t allowed
linha 171: Multiple empty lines are not allowed")</f>
        <v>linha 3: Element Scenario too long: actual 50, expected 15
linha 9: Step "When I click on dashboard menu "Bookings" of "offerer"" should not appear after step using keyword then
linha 14: Step "When I click on dashboard menu "Listings" of "offerer"" should not appear after step using keyword then
linha 19: Step "When I click on dashboard menu "Payments" of "offerer"" should not appear after step using keyword then
linha 24: Step "When I click on dashboard menu "Comments" of "offerer"" should not appear after step using keyword then
linha 30: Step "When I click on the element with css selector ".form-radio span.jcf-unchecked"" should not appear after step using keyword then
linha 36: Step "When I click on dashboard menu "Profile" of "offerer"" should not appear after step using keyword then
linha 42: Step "When I follow "Payment information"" should not appear after step using keyword then
linha 48: Step "When I follow "Contact information"" should not appear after step using keyword then
linha 55: Multiple empty lines are not allowed
linha 56: Multiple empty lines are not allowed
linha 57: Element Scenario too long: actual 57, expected 15
linha 62: Step "When I follow "Edit"" should not appear after step using keyword then
linha 69: Step "When I follow "Price &amp; conditions"" should not appear after step using keyword then
linha 76: Step "When I follow "Calendar"" should not appear after step using keyword then
linha 83: Step "When I follow "Photos"" should not appear after step using keyword then
linha 90: Step "When I follow "Characteristics"" should not appear after step using keyword then
linha 97: Step "When I follow "Various information"" should not appear after step using keyword then
linha 104: Step "When I click on dashboard menu "Listings" of "offerer"" should not appear after step using keyword then
linha 107: Step "When I follow "Show"" should not appear after step using keyword then
linha 116: Multiple empty lines are not allowed
linha 117: Multiple empty lines are not allowed
linha 118: Element Scenario too long: actual 50, expected 15
linha 125: Step "When I click on dashboard menu "Bookings" of "asker"" should not appear after step using keyword then
linha 130: Step "When I click on dashboard menu "Payments" of "asker"" should not appear after step using keyword then
linha 135: Step "When I click on the element with css selector ".form-radio span.jcf-unchecked"" should not appear after step using keyword then
linha 140: Step "When I click on dashboard menu "Comments" of "asker"" should not appear after step using keyword then
linha 151: Step "When I click on dashboard menu "Profile" of "asker"" should not appear after step using keyword then
linha 157: Step "When I follow "Payment information"" should not appear after step using keyword then
linha 163: Step "When I follow "Contact information"" should not appear after step using keyword then
linha 170: Multiple empty lines are not allowed
linha 171: Multiple empty lines are not allowed</v>
      </c>
      <c r="H26" s="20">
        <f>IFERROR(__xludf.DUMMYFUNCTION("IF(G26="""", 0, COUNTA(SPLIT(G26, CHAR(10))))"),32.0)</f>
        <v>32</v>
      </c>
      <c r="I26" s="11" t="s">
        <v>534</v>
      </c>
      <c r="J26" s="20">
        <f>IFERROR(__xludf.DUMMYFUNCTION("IF(I26="""", 0, COUNTA(SPLIT(I26, CHAR(10))))"),31.0)</f>
        <v>31</v>
      </c>
      <c r="K26" s="11" t="str">
        <f>IFERROR(__xludf.DUMMYFUNCTION("IFERROR(
   IF(
     COUNTA(FILTER(SPLIT(I26, CHAR(10)), NOT(REGEXMATCH(SPLIT(I26, CHAR(10)), "" name is too long"")))) = 0,
     """",
     JOIN(CHAR(10), FILTER(SPLIT(I26, CHAR(10)), NOT(REGEXMATCH(SPLIT(I26, CHAR(10)), "" name is too long""))))
   ),
 "&amp;"  """"
)"),"linha 3: Element Scenario too long: actual 50, expected 15
linha 9: Step ""When I click on dashboard menu ""Bookings"" of ""offerer"""" should not appear after step using keyword then
linha 14: Step ""When I click on dashboard menu ""Listings"" of ""offer"&amp;"er"""" should not appear after step using keyword then
linha 19: Step ""When I click on dashboard menu ""Payments"" of ""offerer"""" should not appear after step using keyword then
linha 24: Step ""When I click on dashboard menu ""Comments"" of ""offerer"&amp;""""" should not appear after step using keyword then
linha 30: Step ""When I click on the element with css selector "".form-radio span.jcf-unchecked"""" should not appear after step using keyword then
linha 36: Step ""When I click on dashboard menu ""Prof"&amp;"ile"" of ""offerer"""" should not appear after step using keyword then
linha 42: Step ""When I follow ""Payment information"""" should not appear after step using keyword then
linha 48: Step ""When I follow ""Contact information"""" should not appear afte"&amp;"r step using keyword then
linha 57: Element Scenario too long: actual 57, expected 15
linha 62: Step ""When I follow ""Edit"""" should not appear after step using keyword then
linha 69: Step ""When I follow ""Price &amp; conditions"""" should not appear after"&amp;" step using keyword then
linha 76: Step ""When I follow ""Calendar"""" should not appear after step using keyword then
linha 83: Step ""When I follow ""Photos"""" should not appear after step using keyword then
linha 90: Step ""When I follow ""Characteris"&amp;"tics"""" should not appear after step using keyword then
linha 97: Step ""When I follow ""Various information"""" should not appear after step using keyword then
linha 104: Step ""When I click on dashboard menu ""Listings"" of ""offerer"""" should not app"&amp;"ear after step using keyword then
linha 107: Step ""When I follow ""Show"""" should not appear after step using keyword then
linha 118: Element Scenario too long: actual 50, expected 15
linha 125: Step ""When I click on dashboard menu ""Bookings"" of ""as"&amp;"ker"""" should not appear after step using keyword then
linha 130: Step ""When I click on dashboard menu ""Payments"" of ""asker"""" should not appear after step using keyword then
linha 135: Step ""When I click on the element with css selector "".form-ra"&amp;"dio span.jcf-unchecked"""" should not appear after step using keyword then
linha 140: Step ""When I click on dashboard menu ""Comments"" of ""asker"""" should not appear after step using keyword then
linha 151: Step ""When I click on dashboard menu ""Prof"&amp;"ile"" of ""asker"""" should not appear after step using keyword then
linha 157: Step ""When I follow ""Payment information"""" should not appear after step using keyword then
linha 163: Step ""When I follow ""Contact information"""" should not appear afte"&amp;"r step using keyword then")</f>
        <v>linha 3: Element Scenario too long: actual 50, expected 15
linha 9: Step "When I click on dashboard menu "Bookings" of "offerer"" should not appear after step using keyword then
linha 14: Step "When I click on dashboard menu "Listings" of "offerer"" should not appear after step using keyword then
linha 19: Step "When I click on dashboard menu "Payments" of "offerer"" should not appear after step using keyword then
linha 24: Step "When I click on dashboard menu "Comments" of "offerer"" should not appear after step using keyword then
linha 30: Step "When I click on the element with css selector ".form-radio span.jcf-unchecked"" should not appear after step using keyword then
linha 36: Step "When I click on dashboard menu "Profile" of "offerer"" should not appear after step using keyword then
linha 42: Step "When I follow "Payment information"" should not appear after step using keyword then
linha 48: Step "When I follow "Contact information"" should not appear after step using keyword then
linha 57: Element Scenario too long: actual 57, expected 15
linha 62: Step "When I follow "Edit"" should not appear after step using keyword then
linha 69: Step "When I follow "Price &amp; conditions"" should not appear after step using keyword then
linha 76: Step "When I follow "Calendar"" should not appear after step using keyword then
linha 83: Step "When I follow "Photos"" should not appear after step using keyword then
linha 90: Step "When I follow "Characteristics"" should not appear after step using keyword then
linha 97: Step "When I follow "Various information"" should not appear after step using keyword then
linha 104: Step "When I click on dashboard menu "Listings" of "offerer"" should not appear after step using keyword then
linha 107: Step "When I follow "Show"" should not appear after step using keyword then
linha 118: Element Scenario too long: actual 50, expected 15
linha 125: Step "When I click on dashboard menu "Bookings" of "asker"" should not appear after step using keyword then
linha 130: Step "When I click on dashboard menu "Payments" of "asker"" should not appear after step using keyword then
linha 135: Step "When I click on the element with css selector ".form-radio span.jcf-unchecked"" should not appear after step using keyword then
linha 140: Step "When I click on dashboard menu "Comments" of "asker"" should not appear after step using keyword then
linha 151: Step "When I click on dashboard menu "Profile" of "asker"" should not appear after step using keyword then
linha 157: Step "When I follow "Payment information"" should not appear after step using keyword then
linha 163: Step "When I follow "Contact information"" should not appear after step using keyword then</v>
      </c>
      <c r="L26" s="20">
        <f>IFERROR(__xludf.DUMMYFUNCTION("IF(K26="""", 0, COUNTA(SPLIT(K26, CHAR(10))))"),26.0)</f>
        <v>26</v>
      </c>
    </row>
    <row r="27">
      <c r="A27" s="18" t="s">
        <v>50</v>
      </c>
      <c r="B27" s="18" t="s">
        <v>46</v>
      </c>
      <c r="C27" s="18" t="s">
        <v>535</v>
      </c>
      <c r="D27" s="19">
        <v>64.0</v>
      </c>
      <c r="E27" s="11" t="s">
        <v>536</v>
      </c>
      <c r="F27" s="20">
        <f>IFERROR(__xludf.DUMMYFUNCTION("IF(E27="""", 0, COUNTA(SPLIT(E27, CHAR(10))))"),23.0)</f>
        <v>23</v>
      </c>
      <c r="G27" s="11" t="str">
        <f>IFERROR(__xludf.DUMMYFUNCTION("IFERROR(
   IF(
     COUNTA(FILTER(SPLIT(E27, CHAR(10)), NOT(REGEXMATCH(SPLIT(E27, CHAR(10)), "" name is too long"")))) = 0,
     """",
     JOIN(CHAR(10), FILTER(SPLIT(E27, CHAR(10)), NOT(REGEXMATCH(SPLIT(E27, CHAR(10)), "" name is too long""))))
   ),
 "&amp;"  """"
)"),"linha 7: Step ""When I fill date range with the following:"" should not appear after step using keyword then
linha 14: Multiple empty lines are not allowed
linha 15: Multiple empty lines are not allowed
linha 20: Step ""When I select categories ""Category"&amp;"2_2"""" should not appear after step using keyword then
linha 26: Multiple empty lines are not allowed
linha 27: Multiple empty lines are not allowed
linha 32: Step ""When I select a characteristic ""Characteristic_3"" with value ""Custom value 2"""" shou"&amp;"ld not appear after step using keyword then
linha 37: Multiple empty lines are not allowed
linha 38: Multiple empty lines are not allowed
linha 43: Step ""When I fill date range with the following:"" should not appear after step using keyword then
linha 4"&amp;"9: Multiple empty lines are not allowed
linha 50: Multiple empty lines are not allowed
linha 55: Step ""When I fill date range with the following:"" should not appear after step using keyword then
linha 62: Multiple empty lines are not allowed
linha 63: M"&amp;"ultiple empty lines are not allowed")</f>
        <v>linha 7: Step "When I fill date range with the following:" should not appear after step using keyword then
linha 14: Multiple empty lines are not allowed
linha 15: Multiple empty lines are not allowed
linha 20: Step "When I select categories "Category2_2"" should not appear after step using keyword then
linha 26: Multiple empty lines are not allowed
linha 27: Multiple empty lines are not allowed
linha 32: Step "When I select a characteristic "Characteristic_3" with value "Custom value 2"" should not appear after step using keyword then
linha 37: Multiple empty lines are not allowed
linha 38: Multiple empty lines are not allowed
linha 43: Step "When I fill date range with the following:" should not appear after step using keyword then
linha 49: Multiple empty lines are not allowed
linha 50: Multiple empty lines are not allowed
linha 55: Step "When I fill date range with the following:" should not appear after step using keyword then
linha 62: Multiple empty lines are not allowed
linha 63: Multiple empty lines are not allowed</v>
      </c>
      <c r="H27" s="20">
        <f>IFERROR(__xludf.DUMMYFUNCTION("IF(G27="""", 0, COUNTA(SPLIT(G27, CHAR(10))))"),15.0)</f>
        <v>15</v>
      </c>
      <c r="I27" s="11" t="s">
        <v>537</v>
      </c>
      <c r="J27" s="20">
        <f>IFERROR(__xludf.DUMMYFUNCTION("IF(I27="""", 0, COUNTA(SPLIT(I27, CHAR(10))))"),13.0)</f>
        <v>13</v>
      </c>
      <c r="K27" s="11" t="str">
        <f>IFERROR(__xludf.DUMMYFUNCTION("IFERROR(
   IF(
     COUNTA(FILTER(SPLIT(I27, CHAR(10)), NOT(REGEXMATCH(SPLIT(I27, CHAR(10)), "" name is too long"")))) = 0,
     """",
     JOIN(CHAR(10), FILTER(SPLIT(I27, CHAR(10)), NOT(REGEXMATCH(SPLIT(I27, CHAR(10)), "" name is too long""))))
   ),
 "&amp;"  """"
)"),"linha 7: Step ""When I fill date range with the following:"" should not appear after step using keyword then
linha 20: Step ""When I select categories ""Category2_2"""" should not appear after step using keyword then
linha 32: Step ""When I select a chara"&amp;"cteristic ""Characteristic_3"" with value ""Custom value 2"""" should not appear after step using keyword then
linha 43: Step ""When I fill date range with the following:"" should not appear after step using keyword then
linha 55: Step ""When I fill date "&amp;"range with the following:"" should not appear after step using keyword then")</f>
        <v>linha 7: Step "When I fill date range with the following:" should not appear after step using keyword then
linha 20: Step "When I select categories "Category2_2"" should not appear after step using keyword then
linha 32: Step "When I select a characteristic "Characteristic_3" with value "Custom value 2"" should not appear after step using keyword then
linha 43: Step "When I fill date range with the following:" should not appear after step using keyword then
linha 55: Step "When I fill date range with the following:" should not appear after step using keyword then</v>
      </c>
      <c r="L27" s="20">
        <f>IFERROR(__xludf.DUMMYFUNCTION("IF(K27="""", 0, COUNTA(SPLIT(K27, CHAR(10))))"),5.0)</f>
        <v>5</v>
      </c>
    </row>
    <row r="28">
      <c r="A28" s="18" t="s">
        <v>54</v>
      </c>
      <c r="B28" s="18" t="s">
        <v>46</v>
      </c>
      <c r="C28" s="18" t="s">
        <v>538</v>
      </c>
      <c r="D28" s="19">
        <v>85.0</v>
      </c>
      <c r="E28" s="11" t="s">
        <v>539</v>
      </c>
      <c r="F28" s="20">
        <f>IFERROR(__xludf.DUMMYFUNCTION("IF(E28="""", 0, COUNTA(SPLIT(E28, CHAR(10))))"),34.0)</f>
        <v>34</v>
      </c>
      <c r="G28" s="11" t="str">
        <f>IFERROR(__xludf.DUMMYFUNCTION("IFERROR(
   IF(
     COUNTA(FILTER(SPLIT(E28, CHAR(10)), NOT(REGEXMATCH(SPLIT(E28, CHAR(10)), "" name is too long"")))) = 0,
     """",
     JOIN(CHAR(10), FILTER(SPLIT(E28, CHAR(10)), NOT(REGEXMATCH(SPLIT(E28, CHAR(10)), "" name is too long""))))
   ),
 "&amp;"  """"
)"),"linha 12: Step ""When I wait 2000 ms"" should not appear after step using keyword then
linha 15: Multiple empty lines are not allowed
linha 16: Multiple empty lines are not allowed
linha 22: Step ""When I fill in the following:"" should not appear after s"&amp;"tep using keyword then
linha 29: Step ""Then I should be on the page which route name is ""dashboard_message_thread_view"""" should use And instead of Then
linha 30: Step ""When I wait 2000 ms"" should not appear after step using keyword then
linha 33: Mu"&amp;"ltiple empty lines are not allowed
linha 34: Multiple empty lines are not allowed
linha 41: Step ""When I follow ""Reply"""" should not appear after step using keyword then
linha 45: Multiple empty lines are not allowed
linha 46: Multiple empty lines are "&amp;"not allowed
linha 53: Step ""When I follow ""Reply"""" should not appear after step using keyword then
linha 57: Step ""When I wait 2000 ms"" should not appear after step using keyword then
linha 60: Multiple empty lines are not allowed
linha 61: Multiple"&amp;" empty lines are not allowed
linha 68: Step ""When I follow ""Delete"""" should not appear after step using keyword then
linha 72: Multiple empty lines are not allowed
linha 73: Multiple empty lines are not allowed")</f>
        <v>linha 12: Step "When I wait 2000 ms" should not appear after step using keyword then
linha 15: Multiple empty lines are not allowed
linha 16: Multiple empty lines are not allowed
linha 22: Step "When I fill in the following:" should not appear after step using keyword then
linha 29: Step "Then I should be on the page which route name is "dashboard_message_thread_view"" should use And instead of Then
linha 30: Step "When I wait 2000 ms" should not appear after step using keyword then
linha 33: Multiple empty lines are not allowed
linha 34: Multiple empty lines are not allowed
linha 41: Step "When I follow "Reply"" should not appear after step using keyword then
linha 45: Multiple empty lines are not allowed
linha 46: Multiple empty lines are not allowed
linha 53: Step "When I follow "Reply"" should not appear after step using keyword then
linha 57: Step "When I wait 2000 ms" should not appear after step using keyword then
linha 60: Multiple empty lines are not allowed
linha 61: Multiple empty lines are not allowed
linha 68: Step "When I follow "Delete"" should not appear after step using keyword then
linha 72: Multiple empty lines are not allowed
linha 73: Multiple empty lines are not allowed</v>
      </c>
      <c r="H28" s="20">
        <f>IFERROR(__xludf.DUMMYFUNCTION("IF(G28="""", 0, COUNTA(SPLIT(G28, CHAR(10))))"),18.0)</f>
        <v>18</v>
      </c>
      <c r="I28" s="11" t="s">
        <v>540</v>
      </c>
      <c r="J28" s="20">
        <f>IFERROR(__xludf.DUMMYFUNCTION("IF(I28="""", 0, COUNTA(SPLIT(I28, CHAR(10))))"),24.0)</f>
        <v>24</v>
      </c>
      <c r="K28" s="11" t="str">
        <f>IFERROR(__xludf.DUMMYFUNCTION("IFERROR(
   IF(
     COUNTA(FILTER(SPLIT(I28, CHAR(10)), NOT(REGEXMATCH(SPLIT(I28, CHAR(10)), "" name is too long"")))) = 0,
     """",
     JOIN(CHAR(10), FILTER(SPLIT(I28, CHAR(10)), NOT(REGEXMATCH(SPLIT(I28, CHAR(10)), "" name is too long""))))
   ),
 "&amp;"  """"
)"),"linha 12: Step ""When I wait 2000 ms"" should not appear after step using keyword then
linha 22: Step ""When I fill in the following:"" should not appear after step using keyword then
linha 29: Step ""Then I should be on the page which route name is ""das"&amp;"hboard_message_thread_view"""" should use And instead of Then
linha 30: Step ""When I wait 2000 ms"" should not appear after step using keyword then
linha 41: Step ""When I follow ""Reply"""" should not appear after step using keyword then
linha 53: Step "&amp;"""When I follow ""Reply"""" should not appear after step using keyword then
linha 57: Step ""When I wait 2000 ms"" should not appear after step using keyword then
linha 68: Step ""When I follow ""Delete"""" should not appear after step using keyword then")</f>
        <v>linha 12: Step "When I wait 2000 ms" should not appear after step using keyword then
linha 22: Step "When I fill in the following:" should not appear after step using keyword then
linha 29: Step "Then I should be on the page which route name is "dashboard_message_thread_view"" should use And instead of Then
linha 30: Step "When I wait 2000 ms" should not appear after step using keyword then
linha 41: Step "When I follow "Reply"" should not appear after step using keyword then
linha 53: Step "When I follow "Reply"" should not appear after step using keyword then
linha 57: Step "When I wait 2000 ms" should not appear after step using keyword then
linha 68: Step "When I follow "Delete"" should not appear after step using keyword then</v>
      </c>
      <c r="L28" s="20">
        <f>IFERROR(__xludf.DUMMYFUNCTION("IF(K28="""", 0, COUNTA(SPLIT(K28, CHAR(10))))"),8.0)</f>
        <v>8</v>
      </c>
    </row>
    <row r="29">
      <c r="A29" s="18" t="s">
        <v>58</v>
      </c>
      <c r="B29" s="18" t="s">
        <v>46</v>
      </c>
      <c r="C29" s="18" t="s">
        <v>541</v>
      </c>
      <c r="D29" s="19">
        <v>71.0</v>
      </c>
      <c r="E29" s="11" t="s">
        <v>542</v>
      </c>
      <c r="F29" s="20">
        <f>IFERROR(__xludf.DUMMYFUNCTION("IF(E29="""", 0, COUNTA(SPLIT(E29, CHAR(10))))"),24.0)</f>
        <v>24</v>
      </c>
      <c r="G29" s="11" t="str">
        <f>IFERROR(__xludf.DUMMYFUNCTION("IFERROR(
   IF(
     COUNTA(FILTER(SPLIT(E29, CHAR(10)), NOT(REGEXMATCH(SPLIT(E29, CHAR(10)), "" name is too long"")))) = 0,
     """",
     JOIN(CHAR(10), FILTER(SPLIT(E29, CHAR(10)), NOT(REGEXMATCH(SPLIT(E29, CHAR(10)), "" name is too long""))))
   ),
 "&amp;"  """"
)"),"linha 9: Step ""When I follow ""Add your rating"""" should not appear after step using keyword then
linha 17: Multiple empty lines are not allowed
linha 18: Multiple empty lines are not allowed
linha 19: Element Scenario too long: actual 26, expected 15
l"&amp;"inha 27: Step ""When I click on the element with css selector ""#user-rating-make a"""" should not appear after step using keyword then
linha 32: Step ""When I do a search on the home page"" should not appear after step using keyword then
linha 36: Step "&amp;"""When I click on ""#comments"" tab"" should not appear after step using keyword then
linha 39: Step ""When I follow ""OffererFirstName"""" should not appear after step using keyword then
linha 47: Multiple empty lines are not allowed
linha 48: Multiple e"&amp;"mpty lines are not allowed
linha 55: Step ""When I follow ""Add your rating"""" should not appear after step using keyword then
linha 60: Multiple empty lines are not allowed
linha 61: Multiple empty lines are not allowed")</f>
        <v>linha 9: Step "When I follow "Add your rating"" should not appear after step using keyword then
linha 17: Multiple empty lines are not allowed
linha 18: Multiple empty lines are not allowed
linha 19: Element Scenario too long: actual 26, expected 15
linha 27: Step "When I click on the element with css selector "#user-rating-make a"" should not appear after step using keyword then
linha 32: Step "When I do a search on the home page" should not appear after step using keyword then
linha 36: Step "When I click on "#comments" tab" should not appear after step using keyword then
linha 39: Step "When I follow "OffererFirstName"" should not appear after step using keyword then
linha 47: Multiple empty lines are not allowed
linha 48: Multiple empty lines are not allowed
linha 55: Step "When I follow "Add your rating"" should not appear after step using keyword then
linha 60: Multiple empty lines are not allowed
linha 61: Multiple empty lines are not allowed</v>
      </c>
      <c r="H29" s="20">
        <f>IFERROR(__xludf.DUMMYFUNCTION("IF(G29="""", 0, COUNTA(SPLIT(G29, CHAR(10))))"),13.0)</f>
        <v>13</v>
      </c>
      <c r="I29" s="11" t="s">
        <v>543</v>
      </c>
      <c r="J29" s="20">
        <f>IFERROR(__xludf.DUMMYFUNCTION("IF(I29="""", 0, COUNTA(SPLIT(I29, CHAR(10))))"),18.0)</f>
        <v>18</v>
      </c>
      <c r="K29" s="11" t="str">
        <f>IFERROR(__xludf.DUMMYFUNCTION("IFERROR(
   IF(
     COUNTA(FILTER(SPLIT(I29, CHAR(10)), NOT(REGEXMATCH(SPLIT(I29, CHAR(10)), "" name is too long"")))) = 0,
     """",
     JOIN(CHAR(10), FILTER(SPLIT(I29, CHAR(10)), NOT(REGEXMATCH(SPLIT(I29, CHAR(10)), "" name is too long""))))
   ),
 "&amp;"  """"
)"),"linha 9: Step ""When I follow ""Add your rating"""" should not appear after step using keyword then
linha 19: Element Scenario too long: actual 26, expected 15
linha 27: Step ""When I click on the element with css selector ""#user-rating-make a"""" should"&amp;" not appear after step using keyword then
linha 32: Step ""When I do a search on the home page"" should not appear after step using keyword then
linha 36: Step ""When I click on ""#comments"" tab"" should not appear after step using keyword then
linha 39:"&amp;" Step ""When I follow ""OffererFirstName"""" should not appear after step using keyword then
linha 55: Step ""When I follow ""Add your rating"""" should not appear after step using keyword then")</f>
        <v>linha 9: Step "When I follow "Add your rating"" should not appear after step using keyword then
linha 19: Element Scenario too long: actual 26, expected 15
linha 27: Step "When I click on the element with css selector "#user-rating-make a"" should not appear after step using keyword then
linha 32: Step "When I do a search on the home page" should not appear after step using keyword then
linha 36: Step "When I click on "#comments" tab" should not appear after step using keyword then
linha 39: Step "When I follow "OffererFirstName"" should not appear after step using keyword then
linha 55: Step "When I follow "Add your rating"" should not appear after step using keyword then</v>
      </c>
      <c r="L29" s="20">
        <f>IFERROR(__xludf.DUMMYFUNCTION("IF(K29="""", 0, COUNTA(SPLIT(K29, CHAR(10))))"),7.0)</f>
        <v>7</v>
      </c>
    </row>
    <row r="30">
      <c r="A30" s="18" t="s">
        <v>249</v>
      </c>
      <c r="B30" s="18" t="s">
        <v>250</v>
      </c>
      <c r="C30" s="18" t="s">
        <v>544</v>
      </c>
      <c r="D30" s="19">
        <v>18.0</v>
      </c>
      <c r="E30" s="11" t="s">
        <v>545</v>
      </c>
      <c r="F30" s="20">
        <f>IFERROR(__xludf.DUMMYFUNCTION("IF(E30="""", 0, COUNTA(SPLIT(E30, CHAR(10))))"),7.0)</f>
        <v>7</v>
      </c>
      <c r="G30" s="11" t="str">
        <f>IFERROR(__xludf.DUMMYFUNCTION("IFERROR(
   IF(
     COUNTA(FILTER(SPLIT(E30, CHAR(10)), NOT(REGEXMATCH(SPLIT(E30, CHAR(10)), "" name is too long"")))) = 0,
     """",
     JOIN(CHAR(10), FILTER(SPLIT(E30, CHAR(10)), NOT(REGEXMATCH(SPLIT(E30, CHAR(10)), "" name is too long""))))
   ),
 "&amp;"  """"
)"),"linha 8: Step ""Then the price rule should be valid for product ""Shoe 2"""" should use And instead of Then
linha 10: Multiple empty lines are not allowed
linha 11: Multiple empty lines are not allowed
linha 14: Step ""Given adding a product price rule na"&amp;"med ""country-discount"""" should use And instead of Given
linha 18: Step ""Then the price rule should be invalid for product ""Shoe 2"""" should use And instead of Then
linha 20: Multiple empty lines are not allowed
linha 21: Multiple empty lines are not"&amp;" allowed")</f>
        <v>linha 8: Step "Then the price rule should be valid for product "Shoe 2"" should use And instead of Then
linha 10: Multiple empty lines are not allowed
linha 11: Multiple empty lines are not allowed
linha 14: Step "Given adding a product price rule named "country-discount"" should use And instead of Given
linha 18: Step "Then the price rule should be invalid for product "Shoe 2"" should use And instead of Then
linha 20: Multiple empty lines are not allowed
linha 21: Multiple empty lines are not allowed</v>
      </c>
      <c r="H30" s="20">
        <f>IFERROR(__xludf.DUMMYFUNCTION("IF(G30="""", 0, COUNTA(SPLIT(G30, CHAR(10))))"),7.0)</f>
        <v>7</v>
      </c>
      <c r="I30" s="11" t="s">
        <v>546</v>
      </c>
      <c r="J30" s="20">
        <f>IFERROR(__xludf.DUMMYFUNCTION("IF(I30="""", 0, COUNTA(SPLIT(I30, CHAR(10))))"),3.0)</f>
        <v>3</v>
      </c>
      <c r="K30" s="11" t="str">
        <f>IFERROR(__xludf.DUMMYFUNCTION("IFERROR(
   IF(
     COUNTA(FILTER(SPLIT(I30, CHAR(10)), NOT(REGEXMATCH(SPLIT(I30, CHAR(10)), "" name is too long"")))) = 0,
     """",
     JOIN(CHAR(10), FILTER(SPLIT(I30, CHAR(10)), NOT(REGEXMATCH(SPLIT(I30, CHAR(10)), "" name is too long""))))
   ),
 "&amp;"  """"
)"),"linha 8: Step ""Then the price rule should be valid for product ""Shoe 2"""" should use And instead of Then
linha 14: Step ""Given adding a product price rule named ""country-discount"""" should use And instead of Given
linha 18: Step ""Then the price rul"&amp;"e should be invalid for product ""Shoe 2"""" should use And instead of Then")</f>
        <v>linha 8: Step "Then the price rule should be valid for product "Shoe 2"" should use And instead of Then
linha 14: Step "Given adding a product price rule named "country-discount"" should use And instead of Given
linha 18: Step "Then the price rule should be invalid for product "Shoe 2"" should use And instead of Then</v>
      </c>
      <c r="L30" s="20">
        <f>IFERROR(__xludf.DUMMYFUNCTION("IF(K30="""", 0, COUNTA(SPLIT(K30, CHAR(10))))"),3.0)</f>
        <v>3</v>
      </c>
    </row>
    <row r="31">
      <c r="A31" s="18" t="s">
        <v>254</v>
      </c>
      <c r="B31" s="18" t="s">
        <v>250</v>
      </c>
      <c r="C31" s="18" t="s">
        <v>547</v>
      </c>
      <c r="D31" s="19">
        <v>18.0</v>
      </c>
      <c r="E31" s="11" t="s">
        <v>548</v>
      </c>
      <c r="F31" s="20">
        <f>IFERROR(__xludf.DUMMYFUNCTION("IF(E31="""", 0, COUNTA(SPLIT(E31, CHAR(10))))"),7.0)</f>
        <v>7</v>
      </c>
      <c r="G31" s="11" t="str">
        <f>IFERROR(__xludf.DUMMYFUNCTION("IFERROR(
   IF(
     COUNTA(FILTER(SPLIT(E31, CHAR(10)), NOT(REGEXMATCH(SPLIT(E31, CHAR(10)), "" name is too long"")))) = 0,
     """",
     JOIN(CHAR(10), FILTER(SPLIT(E31, CHAR(10)), NOT(REGEXMATCH(SPLIT(E31, CHAR(10)), "" name is too long""))))
   ),
 "&amp;"  """"
)"),"linha 11: Step ""Then the cart discount should be ""-8333"" excluding tax"" should use And instead of Then
linha 12: Step ""Then the cart total tax should be ""0"""" should use And instead of Then
linha 13: Step ""Then the cart total should be ""0"" exclu"&amp;"ding tax"" should use And instead of Then
linha 14: Step ""Then the cart total should be ""0"" including tax"" should use And instead of Then
linha 16: Multiple empty lines are not allowed
linha 17: Multiple empty lines are not allowed")</f>
        <v>linha 11: Step "Then the cart discount should be "-8333" excluding tax" should use And instead of Then
linha 12: Step "Then the cart total tax should be "0"" should use And instead of Then
linha 13: Step "Then the cart total should be "0" excluding tax" should use And instead of Then
linha 14: Step "Then the cart total should be "0" including tax" should use And instead of Then
linha 16: Multiple empty lines are not allowed
linha 17: Multiple empty lines are not allowed</v>
      </c>
      <c r="H31" s="20">
        <f>IFERROR(__xludf.DUMMYFUNCTION("IF(G31="""", 0, COUNTA(SPLIT(G31, CHAR(10))))"),6.0)</f>
        <v>6</v>
      </c>
      <c r="I31" s="11" t="s">
        <v>549</v>
      </c>
      <c r="J31" s="20">
        <f>IFERROR(__xludf.DUMMYFUNCTION("IF(I31="""", 0, COUNTA(SPLIT(I31, CHAR(10))))"),5.0)</f>
        <v>5</v>
      </c>
      <c r="K31" s="11" t="str">
        <f>IFERROR(__xludf.DUMMYFUNCTION("IFERROR(
   IF(
     COUNTA(FILTER(SPLIT(I31, CHAR(10)), NOT(REGEXMATCH(SPLIT(I31, CHAR(10)), "" name is too long"")))) = 0,
     """",
     JOIN(CHAR(10), FILTER(SPLIT(I31, CHAR(10)), NOT(REGEXMATCH(SPLIT(I31, CHAR(10)), "" name is too long""))))
   ),
 "&amp;"  """"
)"),"linha 11: Step ""Then the cart discount should be ""-8333"" excluding tax"" should use And instead of Then
linha 12: Step ""Then the cart total tax should be ""0"""" should use And instead of Then
linha 13: Step ""Then the cart total should be ""0"" exclu"&amp;"ding tax"" should use And instead of Then
linha 14: Step ""Then the cart total should be ""0"" including tax"" should use And instead of Then")</f>
        <v>linha 11: Step "Then the cart discount should be "-8333" excluding tax" should use And instead of Then
linha 12: Step "Then the cart total tax should be "0"" should use And instead of Then
linha 13: Step "Then the cart total should be "0" excluding tax" should use And instead of Then
linha 14: Step "Then the cart total should be "0" including tax" should use And instead of Then</v>
      </c>
      <c r="L31" s="20">
        <f>IFERROR(__xludf.DUMMYFUNCTION("IF(K31="""", 0, COUNTA(SPLIT(K31, CHAR(10))))"),4.0)</f>
        <v>4</v>
      </c>
    </row>
    <row r="32">
      <c r="A32" s="18" t="s">
        <v>258</v>
      </c>
      <c r="B32" s="18" t="s">
        <v>250</v>
      </c>
      <c r="C32" s="18" t="s">
        <v>550</v>
      </c>
      <c r="D32" s="19">
        <v>11.0</v>
      </c>
      <c r="E32" s="11" t="s">
        <v>551</v>
      </c>
      <c r="F32" s="20">
        <f>IFERROR(__xludf.DUMMYFUNCTION("IF(E32="""", 0, COUNTA(SPLIT(E32, CHAR(10))))"),3.0)</f>
        <v>3</v>
      </c>
      <c r="G32" s="11" t="str">
        <f>IFERROR(__xludf.DUMMYFUNCTION("IFERROR(
   IF(
     COUNTA(FILTER(SPLIT(E32, CHAR(10)), NOT(REGEXMATCH(SPLIT(E32, CHAR(10)), "" name is too long"")))) = 0,
     """",
     JOIN(CHAR(10), FILTER(SPLIT(E32, CHAR(10)), NOT(REGEXMATCH(SPLIT(E32, CHAR(10)), "" name is too long""))))
   ),
 "&amp;"  """"
)"),"linha 11: Step ""Then the cart total should be ""9000"" including tax"" should use And instead of Then
linha 13: Multiple empty lines are not allowed
linha 14: Multiple empty lines are not allowed")</f>
        <v>linha 11: Step "Then the cart total should be "9000" including tax" should use And instead of Then
linha 13: Multiple empty lines are not allowed
linha 14: Multiple empty lines are not allowed</v>
      </c>
      <c r="H32" s="20">
        <f>IFERROR(__xludf.DUMMYFUNCTION("IF(G32="""", 0, COUNTA(SPLIT(G32, CHAR(10))))"),3.0)</f>
        <v>3</v>
      </c>
      <c r="I32" s="11" t="s">
        <v>552</v>
      </c>
      <c r="J32" s="20">
        <f>IFERROR(__xludf.DUMMYFUNCTION("IF(I32="""", 0, COUNTA(SPLIT(I32, CHAR(10))))"),1.0)</f>
        <v>1</v>
      </c>
      <c r="K32" s="11" t="str">
        <f>IFERROR(__xludf.DUMMYFUNCTION("IFERROR(
   IF(
     COUNTA(FILTER(SPLIT(I32, CHAR(10)), NOT(REGEXMATCH(SPLIT(I32, CHAR(10)), "" name is too long"")))) = 0,
     """",
     JOIN(CHAR(10), FILTER(SPLIT(I32, CHAR(10)), NOT(REGEXMATCH(SPLIT(I32, CHAR(10)), "" name is too long""))))
   ),
 "&amp;"  """"
)"),"linha 11: Step ""Then the cart total should be ""9000"" including tax"" should use And instead of Then")</f>
        <v>linha 11: Step "Then the cart total should be "9000" including tax" should use And instead of Then</v>
      </c>
      <c r="L32" s="20">
        <f>IFERROR(__xludf.DUMMYFUNCTION("IF(K32="""", 0, COUNTA(SPLIT(K32, CHAR(10))))"),1.0)</f>
        <v>1</v>
      </c>
    </row>
    <row r="33">
      <c r="A33" s="18" t="s">
        <v>262</v>
      </c>
      <c r="B33" s="18" t="s">
        <v>250</v>
      </c>
      <c r="C33" s="18" t="s">
        <v>553</v>
      </c>
      <c r="D33" s="19">
        <v>11.0</v>
      </c>
      <c r="E33" s="11" t="s">
        <v>554</v>
      </c>
      <c r="F33" s="20">
        <f>IFERROR(__xludf.DUMMYFUNCTION("IF(E33="""", 0, COUNTA(SPLIT(E33, CHAR(10))))"),4.0)</f>
        <v>4</v>
      </c>
      <c r="G33" s="11" t="str">
        <f>IFERROR(__xludf.DUMMYFUNCTION("IFERROR(
   IF(
     COUNTA(FILTER(SPLIT(E33, CHAR(10)), NOT(REGEXMATCH(SPLIT(E33, CHAR(10)), "" name is too long"")))) = 0,
     """",
     JOIN(CHAR(10), FILTER(SPLIT(E33, CHAR(10)), NOT(REGEXMATCH(SPLIT(E33, CHAR(10)), "" name is too long""))))
   ),
 "&amp;"  """"
)"),"linha 10: Step ""Then the cart total should be ""10000"" including tax"" should use And instead of Then
linha 12: Multiple empty lines are not allowed
linha 13: Multiple empty lines are not allowed")</f>
        <v>linha 10: Step "Then the cart total should be "10000" including tax" should use And instead of Then
linha 12: Multiple empty lines are not allowed
linha 13: Multiple empty lines are not allowed</v>
      </c>
      <c r="H33" s="20">
        <f>IFERROR(__xludf.DUMMYFUNCTION("IF(G33="""", 0, COUNTA(SPLIT(G33, CHAR(10))))"),3.0)</f>
        <v>3</v>
      </c>
      <c r="I33" s="11" t="s">
        <v>555</v>
      </c>
      <c r="J33" s="20">
        <f>IFERROR(__xludf.DUMMYFUNCTION("IF(I33="""", 0, COUNTA(SPLIT(I33, CHAR(10))))"),2.0)</f>
        <v>2</v>
      </c>
      <c r="K33" s="11" t="str">
        <f>IFERROR(__xludf.DUMMYFUNCTION("IFERROR(
   IF(
     COUNTA(FILTER(SPLIT(I33, CHAR(10)), NOT(REGEXMATCH(SPLIT(I33, CHAR(10)), "" name is too long"")))) = 0,
     """",
     JOIN(CHAR(10), FILTER(SPLIT(I33, CHAR(10)), NOT(REGEXMATCH(SPLIT(I33, CHAR(10)), "" name is too long""))))
   ),
 "&amp;"  """"
)"),"linha 10: Step ""Then the cart total should be ""10000"" including tax"" should use And instead of Then")</f>
        <v>linha 10: Step "Then the cart total should be "10000" including tax" should use And instead of Then</v>
      </c>
      <c r="L33" s="20">
        <f>IFERROR(__xludf.DUMMYFUNCTION("IF(K33="""", 0, COUNTA(SPLIT(K33, CHAR(10))))"),1.0)</f>
        <v>1</v>
      </c>
    </row>
    <row r="34">
      <c r="A34" s="18" t="s">
        <v>266</v>
      </c>
      <c r="B34" s="18" t="s">
        <v>267</v>
      </c>
      <c r="C34" s="18" t="s">
        <v>556</v>
      </c>
      <c r="D34" s="19">
        <v>39.0</v>
      </c>
      <c r="E34" s="11" t="s">
        <v>557</v>
      </c>
      <c r="F34" s="20">
        <f>IFERROR(__xludf.DUMMYFUNCTION("IF(E34="""", 0, COUNTA(SPLIT(E34, CHAR(10))))"),6.0)</f>
        <v>6</v>
      </c>
      <c r="G34" s="11" t="str">
        <f>IFERROR(__xludf.DUMMYFUNCTION("IFERROR(
   IF(
     COUNTA(FILTER(SPLIT(E34, CHAR(10)), NOT(REGEXMATCH(SPLIT(E34, CHAR(10)), "" name is too long"")))) = 0,
     """",
     JOIN(CHAR(10), FILTER(SPLIT(E34, CHAR(10)), NOT(REGEXMATCH(SPLIT(E34, CHAR(10)), "" name is too long""))))
   ),
 "&amp;"  """"
)"),"linha 3: Element Scenario too long: actual 16, expected 15
linha 22: Multiple empty lines are not allowed
linha 23: Multiple empty lines are not allowed
linha 24: Element Scenario too long: actual 17, expected 15
linha 44: Multiple empty lines are not all"&amp;"owed
linha 45: Multiple empty lines are not allowed")</f>
        <v>linha 3: Element Scenario too long: actual 16, expected 15
linha 22: Multiple empty lines are not allowed
linha 23: Multiple empty lines are not allowed
linha 24: Element Scenario too long: actual 17, expected 15
linha 44: Multiple empty lines are not allowed
linha 45: Multiple empty lines are not allowed</v>
      </c>
      <c r="H34" s="20">
        <f>IFERROR(__xludf.DUMMYFUNCTION("IF(G34="""", 0, COUNTA(SPLIT(G34, CHAR(10))))"),6.0)</f>
        <v>6</v>
      </c>
      <c r="I34" s="11" t="s">
        <v>558</v>
      </c>
      <c r="J34" s="20">
        <f>IFERROR(__xludf.DUMMYFUNCTION("IF(I34="""", 0, COUNTA(SPLIT(I34, CHAR(10))))"),2.0)</f>
        <v>2</v>
      </c>
      <c r="K34" s="11" t="str">
        <f>IFERROR(__xludf.DUMMYFUNCTION("IFERROR(
   IF(
     COUNTA(FILTER(SPLIT(I34, CHAR(10)), NOT(REGEXMATCH(SPLIT(I34, CHAR(10)), "" name is too long"")))) = 0,
     """",
     JOIN(CHAR(10), FILTER(SPLIT(I34, CHAR(10)), NOT(REGEXMATCH(SPLIT(I34, CHAR(10)), "" name is too long""))))
   ),
 "&amp;"  """"
)"),"linha 3: Element Scenario too long: actual 16, expected 15
linha 24: Element Scenario too long: actual 17, expected 15")</f>
        <v>linha 3: Element Scenario too long: actual 16, expected 15
linha 24: Element Scenario too long: actual 17, expected 15</v>
      </c>
      <c r="L34" s="20">
        <f>IFERROR(__xludf.DUMMYFUNCTION("IF(K34="""", 0, COUNTA(SPLIT(K34, CHAR(10))))"),2.0)</f>
        <v>2</v>
      </c>
    </row>
    <row r="35">
      <c r="A35" s="18" t="s">
        <v>271</v>
      </c>
      <c r="B35" s="18" t="s">
        <v>267</v>
      </c>
      <c r="C35" s="18" t="s">
        <v>559</v>
      </c>
      <c r="D35" s="19">
        <v>31.0</v>
      </c>
      <c r="E35" s="11" t="s">
        <v>560</v>
      </c>
      <c r="F35" s="20">
        <f>IFERROR(__xludf.DUMMYFUNCTION("IF(E35="""", 0, COUNTA(SPLIT(E35, CHAR(10))))"),7.0)</f>
        <v>7</v>
      </c>
      <c r="G35" s="11" t="str">
        <f>IFERROR(__xludf.DUMMYFUNCTION("IFERROR(
   IF(
     COUNTA(FILTER(SPLIT(E35, CHAR(10)), NOT(REGEXMATCH(SPLIT(E35, CHAR(10)), "" name is too long"")))) = 0,
     """",
     JOIN(CHAR(10), FILTER(SPLIT(E35, CHAR(10)), NOT(REGEXMATCH(SPLIT(E35, CHAR(10)), "" name is too long""))))
   ),
 "&amp;"  """"
)"),"linha 11: Multiple empty lines are not allowed
linha 12: Multiple empty lines are not allowed
linha 13: Element Scenario too long: actual 19, expected 15
linha 23: Step ""When I click edit on location form"" should not appear after step using keyword then"&amp;"
linha 35: Multiple empty lines are not allowed
linha 36: Multiple empty lines are not allowed")</f>
        <v>linha 11: Multiple empty lines are not allowed
linha 12: Multiple empty lines are not allowed
linha 13: Element Scenario too long: actual 19, expected 15
linha 23: Step "When I click edit on location form" should not appear after step using keyword then
linha 35: Multiple empty lines are not allowed
linha 36: Multiple empty lines are not allowed</v>
      </c>
      <c r="H35" s="20">
        <f>IFERROR(__xludf.DUMMYFUNCTION("IF(G35="""", 0, COUNTA(SPLIT(G35, CHAR(10))))"),6.0)</f>
        <v>6</v>
      </c>
      <c r="I35" s="11" t="s">
        <v>561</v>
      </c>
      <c r="J35" s="20">
        <f>IFERROR(__xludf.DUMMYFUNCTION("IF(I35="""", 0, COUNTA(SPLIT(I35, CHAR(10))))"),3.0)</f>
        <v>3</v>
      </c>
      <c r="K35" s="11" t="str">
        <f>IFERROR(__xludf.DUMMYFUNCTION("IFERROR(
   IF(
     COUNTA(FILTER(SPLIT(I35, CHAR(10)), NOT(REGEXMATCH(SPLIT(I35, CHAR(10)), "" name is too long"")))) = 0,
     """",
     JOIN(CHAR(10), FILTER(SPLIT(I35, CHAR(10)), NOT(REGEXMATCH(SPLIT(I35, CHAR(10)), "" name is too long""))))
   ),
 "&amp;"  """"
)"),"linha 13: Element Scenario too long: actual 19, expected 15
linha 23: Step ""When I click edit on location form"" should not appear after step using keyword then")</f>
        <v>linha 13: Element Scenario too long: actual 19, expected 15
linha 23: Step "When I click edit on location form" should not appear after step using keyword then</v>
      </c>
      <c r="L35" s="20">
        <f>IFERROR(__xludf.DUMMYFUNCTION("IF(K35="""", 0, COUNTA(SPLIT(K35, CHAR(10))))"),2.0)</f>
        <v>2</v>
      </c>
    </row>
    <row r="36">
      <c r="A36" s="18" t="s">
        <v>275</v>
      </c>
      <c r="B36" s="18" t="s">
        <v>267</v>
      </c>
      <c r="C36" s="18" t="s">
        <v>562</v>
      </c>
      <c r="D36" s="19">
        <v>26.0</v>
      </c>
      <c r="E36" s="11" t="s">
        <v>563</v>
      </c>
      <c r="F36" s="20">
        <f>IFERROR(__xludf.DUMMYFUNCTION("IF(E36="""", 0, COUNTA(SPLIT(E36, CHAR(10))))"),8.0)</f>
        <v>8</v>
      </c>
      <c r="G36" s="11" t="str">
        <f>IFERROR(__xludf.DUMMYFUNCTION("IFERROR(
   IF(
     COUNTA(FILTER(SPLIT(E36, CHAR(10)), NOT(REGEXMATCH(SPLIT(E36, CHAR(10)), "" name is too long"")))) = 0,
     """",
     JOIN(CHAR(10), FILTER(SPLIT(E36, CHAR(10)), NOT(REGEXMATCH(SPLIT(E36, CHAR(10)), "" name is too long""))))
   ),
 "&amp;"  """"
)"),"linha 10: Multiple empty lines are not allowed
linha 11: Multiple empty lines are not allowed
linha 19: Multiple empty lines are not allowed
linha 20: Multiple empty lines are not allowed
linha 28: Multiple empty lines are not allowed
linha 29: Multiple e"&amp;"mpty lines are not allowed
linha 35: Multiple empty lines are not allowed
linha 36: Multiple empty lines are not allowed")</f>
        <v>linha 10: Multiple empty lines are not allowed
linha 11: Multiple empty lines are not allowed
linha 19: Multiple empty lines are not allowed
linha 20: Multiple empty lines are not allowed
linha 28: Multiple empty lines are not allowed
linha 29: Multiple empty lines are not allowed
linha 35: Multiple empty lines are not allowed
linha 36: Multiple empty lines are not allowed</v>
      </c>
      <c r="H36" s="20">
        <f>IFERROR(__xludf.DUMMYFUNCTION("IF(G36="""", 0, COUNTA(SPLIT(G36, CHAR(10))))"),8.0)</f>
        <v>8</v>
      </c>
      <c r="J36" s="20">
        <f>IFERROR(__xludf.DUMMYFUNCTION("IF(I36="""", 0, COUNTA(SPLIT(I36, CHAR(10))))"),0.0)</f>
        <v>0</v>
      </c>
      <c r="K36" s="11" t="str">
        <f>IFERROR(__xludf.DUMMYFUNCTION("IFERROR(
   IF(
     COUNTA(FILTER(SPLIT(I36, CHAR(10)), NOT(REGEXMATCH(SPLIT(I36, CHAR(10)), "" name is too long"")))) = 0,
     """",
     JOIN(CHAR(10), FILTER(SPLIT(I36, CHAR(10)), NOT(REGEXMATCH(SPLIT(I36, CHAR(10)), "" name is too long""))))
   ),
 "&amp;"  """"
)"),"")</f>
        <v/>
      </c>
      <c r="L36" s="20">
        <f>IFERROR(__xludf.DUMMYFUNCTION("IF(K36="""", 0, COUNTA(SPLIT(K36, CHAR(10))))"),0.0)</f>
        <v>0</v>
      </c>
    </row>
    <row r="37">
      <c r="A37" s="18" t="s">
        <v>279</v>
      </c>
      <c r="B37" s="18" t="s">
        <v>267</v>
      </c>
      <c r="C37" s="18" t="s">
        <v>564</v>
      </c>
      <c r="D37" s="19">
        <v>64.0</v>
      </c>
      <c r="E37" s="11" t="s">
        <v>565</v>
      </c>
      <c r="F37" s="20">
        <f>IFERROR(__xludf.DUMMYFUNCTION("IF(E37="""", 0, COUNTA(SPLIT(E37, CHAR(10))))"),13.0)</f>
        <v>13</v>
      </c>
      <c r="G37" s="11" t="str">
        <f>IFERROR(__xludf.DUMMYFUNCTION("IFERROR(
   IF(
     COUNTA(FILTER(SPLIT(E37, CHAR(10)), NOT(REGEXMATCH(SPLIT(E37, CHAR(10)), "" name is too long"")))) = 0,
     """",
     JOIN(CHAR(10), FILTER(SPLIT(E37, CHAR(10)), NOT(REGEXMATCH(SPLIT(E37, CHAR(10)), "" name is too long""))))
   ),
 "&amp;"  """"
)"),"linha 11: Multiple empty lines are not allowed
linha 12: Multiple empty lines are not allowed
linha 26: Multiple empty lines are not allowed
linha 27: Multiple empty lines are not allowed
linha 45: Multiple empty lines are not allowed
linha 46: Multiple e"&amp;"mpty lines are not allowed
linha 58: Multiple empty lines are not allowed
linha 59: Multiple empty lines are not allowed
linha 65: Step ""When I remove logo from organization"" should not appear after step using keyword then
linha 72: Multiple empty lines"&amp;" are not allowed
linha 73: Multiple empty lines are not allowed")</f>
        <v>linha 11: Multiple empty lines are not allowed
linha 12: Multiple empty lines are not allowed
linha 26: Multiple empty lines are not allowed
linha 27: Multiple empty lines are not allowed
linha 45: Multiple empty lines are not allowed
linha 46: Multiple empty lines are not allowed
linha 58: Multiple empty lines are not allowed
linha 59: Multiple empty lines are not allowed
linha 65: Step "When I remove logo from organization" should not appear after step using keyword then
linha 72: Multiple empty lines are not allowed
linha 73: Multiple empty lines are not allowed</v>
      </c>
      <c r="H37" s="20">
        <f>IFERROR(__xludf.DUMMYFUNCTION("IF(G37="""", 0, COUNTA(SPLIT(G37, CHAR(10))))"),11.0)</f>
        <v>11</v>
      </c>
      <c r="I37" s="11" t="s">
        <v>566</v>
      </c>
      <c r="J37" s="20">
        <f>IFERROR(__xludf.DUMMYFUNCTION("IF(I37="""", 0, COUNTA(SPLIT(I37, CHAR(10))))"),3.0)</f>
        <v>3</v>
      </c>
      <c r="K37" s="11" t="str">
        <f>IFERROR(__xludf.DUMMYFUNCTION("IFERROR(
   IF(
     COUNTA(FILTER(SPLIT(I37, CHAR(10)), NOT(REGEXMATCH(SPLIT(I37, CHAR(10)), "" name is too long"")))) = 0,
     """",
     JOIN(CHAR(10), FILTER(SPLIT(I37, CHAR(10)), NOT(REGEXMATCH(SPLIT(I37, CHAR(10)), "" name is too long""))))
   ),
 "&amp;"  """"
)"),"linha 65: Step ""When I remove logo from organization"" should not appear after step using keyword then")</f>
        <v>linha 65: Step "When I remove logo from organization" should not appear after step using keyword then</v>
      </c>
      <c r="L37" s="20">
        <f>IFERROR(__xludf.DUMMYFUNCTION("IF(K37="""", 0, COUNTA(SPLIT(K37, CHAR(10))))"),1.0)</f>
        <v>1</v>
      </c>
    </row>
    <row r="38">
      <c r="A38" s="18" t="s">
        <v>62</v>
      </c>
      <c r="B38" s="18" t="s">
        <v>63</v>
      </c>
      <c r="C38" s="18" t="s">
        <v>567</v>
      </c>
      <c r="D38" s="19">
        <v>149.0</v>
      </c>
      <c r="E38" s="11" t="s">
        <v>568</v>
      </c>
      <c r="F38" s="20">
        <f>IFERROR(__xludf.DUMMYFUNCTION("IF(E38="""", 0, COUNTA(SPLIT(E38, CHAR(10))))"),54.0)</f>
        <v>54</v>
      </c>
      <c r="G38" s="11" t="str">
        <f>IFERROR(__xludf.DUMMYFUNCTION("IFERROR(
   IF(
     COUNTA(FILTER(SPLIT(E38, CHAR(10)), NOT(REGEXMATCH(SPLIT(E38, CHAR(10)), "" name is too long"")))) = 0,
     """",
     JOIN(CHAR(10), FILTER(SPLIT(E38, CHAR(10)), NOT(REGEXMATCH(SPLIT(E38, CHAR(10)), "" name is too long""))))
   ),
 "&amp;"  """"
)"),"linha 11: Multiple empty lines are not allowed
linha 12: Multiple empty lines are not allowed
linha 20: Multiple empty lines are not allowed
linha 21: Multiple empty lines are not allowed
linha 30: Multiple empty lines are not allowed
linha 31: Multiple e"&amp;"mpty lines are not allowed
linha 40: Multiple empty lines are not allowed
linha 41: Multiple empty lines are not allowed
linha 50: Multiple empty lines are not allowed
linha 51: Multiple empty lines are not allowed
linha 60: Multiple empty lines are not a"&amp;"llowed
linha 61: Multiple empty lines are not allowed
linha 70: Multiple empty lines are not allowed
linha 71: Multiple empty lines are not allowed
linha 80: Multiple empty lines are not allowed
linha 81: Multiple empty lines are not allowed
linha 90: Mul"&amp;"tiple empty lines are not allowed
linha 91: Multiple empty lines are not allowed
linha 100: Multiple empty lines are not allowed
linha 101: Multiple empty lines are not allowed
linha 110: Multiple empty lines are not allowed
linha 111: Multiple empty line"&amp;"s are not allowed
linha 120: Multiple empty lines are not allowed
linha 121: Multiple empty lines are not allowed
linha 129: Multiple empty lines are not allowed
linha 130: Multiple empty lines are not allowed
linha 138: Multiple empty lines are not allow"&amp;"ed
linha 139: Multiple empty lines are not allowed
linha 147: Multiple empty lines are not allowed
linha 148: Multiple empty lines are not allowed
linha 156: Multiple empty lines are not allowed
linha 157: Multiple empty lines are not allowed
linha 165: M"&amp;"ultiple empty lines are not allowed
linha 166: Multiple empty lines are not allowed
linha 174: Multiple empty lines are not allowed
linha 175: Multiple empty lines are not allowed
linha 183: Multiple empty lines are not allowed
linha 184: Multiple empty l"&amp;"ines are not allowed
linha 192: Multiple empty lines are not allowed
linha 193: Multiple empty lines are not allowed
linha 201: Multiple empty lines are not allowed
linha 202: Multiple empty lines are not allowed")</f>
        <v>linha 11: Multiple empty lines are not allowed
linha 12: Multiple empty lines are not allowed
linha 20: Multiple empty lines are not allowed
linha 21: Multiple empty lines are not allowed
linha 30: Multiple empty lines are not allowed
linha 31: Multiple empty lines are not allowed
linha 40: Multiple empty lines are not allowed
linha 41: Multiple empty lines are not allowed
linha 50: Multiple empty lines are not allowed
linha 51: Multiple empty lines are not allowed
linha 60: Multiple empty lines are not allowed
linha 61: Multiple empty lines are not allowed
linha 70: Multiple empty lines are not allowed
linha 71: Multiple empty lines are not allowed
linha 80: Multiple empty lines are not allowed
linha 81: Multiple empty lines are not allowed
linha 90: Multiple empty lines are not allowed
linha 91: Multiple empty lines are not allowed
linha 100: Multiple empty lines are not allowed
linha 101: Multiple empty lines are not allowed
linha 110: Multiple empty lines are not allowed
linha 111: Multiple empty lines are not allowed
linha 120: Multiple empty lines are not allowed
linha 121: Multiple empty lines are not allowed
linha 129: Multiple empty lines are not allowed
linha 130: Multiple empty lines are not allowed
linha 138: Multiple empty lines are not allowed
linha 139: Multiple empty lines are not allowed
linha 147: Multiple empty lines are not allowed
linha 148: Multiple empty lines are not allowed
linha 156: Multiple empty lines are not allowed
linha 157: Multiple empty lines are not allowed
linha 165: Multiple empty lines are not allowed
linha 166: Multiple empty lines are not allowed
linha 174: Multiple empty lines are not allowed
linha 175: Multiple empty lines are not allowed
linha 183: Multiple empty lines are not allowed
linha 184: Multiple empty lines are not allowed
linha 192: Multiple empty lines are not allowed
linha 193: Multiple empty lines are not allowed
linha 201: Multiple empty lines are not allowed
linha 202: Multiple empty lines are not allowed</v>
      </c>
      <c r="H38" s="20">
        <f>IFERROR(__xludf.DUMMYFUNCTION("IF(G38="""", 0, COUNTA(SPLIT(G38, CHAR(10))))"),42.0)</f>
        <v>42</v>
      </c>
      <c r="I38" s="11" t="s">
        <v>569</v>
      </c>
      <c r="J38" s="20">
        <f>IFERROR(__xludf.DUMMYFUNCTION("IF(I38="""", 0, COUNTA(SPLIT(I38, CHAR(10))))"),12.0)</f>
        <v>12</v>
      </c>
      <c r="K38" s="11" t="str">
        <f>IFERROR(__xludf.DUMMYFUNCTION("IFERROR(
   IF(
     COUNTA(FILTER(SPLIT(I38, CHAR(10)), NOT(REGEXMATCH(SPLIT(I38, CHAR(10)), "" name is too long"")))) = 0,
     """",
     JOIN(CHAR(10), FILTER(SPLIT(I38, CHAR(10)), NOT(REGEXMATCH(SPLIT(I38, CHAR(10)), "" name is too long""))))
   ),
 "&amp;"  """"
)"),"")</f>
        <v/>
      </c>
      <c r="L38" s="20">
        <f>IFERROR(__xludf.DUMMYFUNCTION("IF(K38="""", 0, COUNTA(SPLIT(K38, CHAR(10))))"),0.0)</f>
        <v>0</v>
      </c>
    </row>
    <row r="39">
      <c r="A39" s="18" t="s">
        <v>67</v>
      </c>
      <c r="B39" s="18" t="s">
        <v>63</v>
      </c>
      <c r="C39" s="18" t="s">
        <v>570</v>
      </c>
      <c r="D39" s="19">
        <v>194.0</v>
      </c>
      <c r="E39" s="11" t="s">
        <v>571</v>
      </c>
      <c r="F39" s="20">
        <f>IFERROR(__xludf.DUMMYFUNCTION("IF(E39="""", 0, COUNTA(SPLIT(E39, CHAR(10))))"),80.0)</f>
        <v>80</v>
      </c>
      <c r="G39" s="11" t="str">
        <f>IFERROR(__xludf.DUMMYFUNCTION("IFERROR(
   IF(
     COUNTA(FILTER(SPLIT(E39, CHAR(10)), NOT(REGEXMATCH(SPLIT(E39, CHAR(10)), "" name is too long"")))) = 0,
     """",
     JOIN(CHAR(10), FILTER(SPLIT(E39, CHAR(10)), NOT(REGEXMATCH(SPLIT(E39, CHAR(10)), "" name is too long""))))
   ),
 "&amp;"  """"
)"),"linha 9: Multiple empty lines are not allowed
linha 10: Multiple empty lines are not allowed
linha 18: Multiple empty lines are not allowed
linha 19: Multiple empty lines are not allowed
linha 28: Multiple empty lines are not allowed
linha 29: Multiple em"&amp;"pty lines are not allowed
linha 37: Multiple empty lines are not allowed
linha 38: Multiple empty lines are not allowed
linha 46: Multiple empty lines are not allowed
linha 47: Multiple empty lines are not allowed
linha 57: Multiple empty lines are not al"&amp;"lowed
linha 58: Multiple empty lines are not allowed
linha 69: Multiple empty lines are not allowed
linha 70: Multiple empty lines are not allowed
linha 81: Multiple empty lines are not allowed
linha 82: Multiple empty lines are not allowed
linha 93: Mult"&amp;"iple empty lines are not allowed
linha 94: Multiple empty lines are not allowed
linha 102: Multiple empty lines are not allowed
linha 103: Multiple empty lines are not allowed
linha 114: Multiple empty lines are not allowed
linha 115: Multiple empty lines"&amp;" are not allowed
linha 127: Multiple empty lines are not allowed
linha 128: Multiple empty lines are not allowed
linha 136: Multiple empty lines are not allowed
linha 137: Multiple empty lines are not allowed
linha 145: Multiple empty lines are not allowe"&amp;"d
linha 146: Multiple empty lines are not allowed
linha 153: Multiple empty lines are not allowed
linha 154: Multiple empty lines are not allowed
linha 163: Multiple empty lines are not allowed
linha 164: Multiple empty lines are not allowed
linha 172: Mu"&amp;"ltiple empty lines are not allowed
linha 173: Multiple empty lines are not allowed
linha 182: Multiple empty lines are not allowed
linha 183: Multiple empty lines are not allowed
linha 192: Multiple empty lines are not allowed
linha 193: Multiple empty li"&amp;"nes are not allowed
linha 203: Multiple empty lines are not allowed
linha 204: Multiple empty lines are not allowed
linha 214: Multiple empty lines are not allowed
linha 215: Multiple empty lines are not allowed
linha 225: Multiple empty lines are not all"&amp;"owed
linha 226: Multiple empty lines are not allowed")</f>
        <v>linha 9: Multiple empty lines are not allowed
linha 10: Multiple empty lines are not allowed
linha 18: Multiple empty lines are not allowed
linha 19: Multiple empty lines are not allowed
linha 28: Multiple empty lines are not allowed
linha 29: Multiple empty lines are not allowed
linha 37: Multiple empty lines are not allowed
linha 38: Multiple empty lines are not allowed
linha 46: Multiple empty lines are not allowed
linha 47: Multiple empty lines are not allowed
linha 57: Multiple empty lines are not allowed
linha 58: Multiple empty lines are not allowed
linha 69: Multiple empty lines are not allowed
linha 70: Multiple empty lines are not allowed
linha 81: Multiple empty lines are not allowed
linha 82: Multiple empty lines are not allowed
linha 93: Multiple empty lines are not allowed
linha 94: Multiple empty lines are not allowed
linha 102: Multiple empty lines are not allowed
linha 103: Multiple empty lines are not allowed
linha 114: Multiple empty lines are not allowed
linha 115: Multiple empty lines are not allowed
linha 127: Multiple empty lines are not allowed
linha 128: Multiple empty lines are not allowed
linha 136: Multiple empty lines are not allowed
linha 137: Multiple empty lines are not allowed
linha 145: Multiple empty lines are not allowed
linha 146: Multiple empty lines are not allowed
linha 153: Multiple empty lines are not allowed
linha 154: Multiple empty lines are not allowed
linha 163: Multiple empty lines are not allowed
linha 164: Multiple empty lines are not allowed
linha 172: Multiple empty lines are not allowed
linha 173: Multiple empty lines are not allowed
linha 182: Multiple empty lines are not allowed
linha 183: Multiple empty lines are not allowed
linha 192: Multiple empty lines are not allowed
linha 193: Multiple empty lines are not allowed
linha 203: Multiple empty lines are not allowed
linha 204: Multiple empty lines are not allowed
linha 214: Multiple empty lines are not allowed
linha 215: Multiple empty lines are not allowed
linha 225: Multiple empty lines are not allowed
linha 226: Multiple empty lines are not allowed</v>
      </c>
      <c r="H39" s="20">
        <f>IFERROR(__xludf.DUMMYFUNCTION("IF(G39="""", 0, COUNTA(SPLIT(G39, CHAR(10))))"),44.0)</f>
        <v>44</v>
      </c>
      <c r="I39" s="11" t="s">
        <v>572</v>
      </c>
      <c r="J39" s="20">
        <f>IFERROR(__xludf.DUMMYFUNCTION("IF(I39="""", 0, COUNTA(SPLIT(I39, CHAR(10))))"),36.0)</f>
        <v>36</v>
      </c>
      <c r="K39" s="11" t="str">
        <f>IFERROR(__xludf.DUMMYFUNCTION("IFERROR(
   IF(
     COUNTA(FILTER(SPLIT(I39, CHAR(10)), NOT(REGEXMATCH(SPLIT(I39, CHAR(10)), "" name is too long"")))) = 0,
     """",
     JOIN(CHAR(10), FILTER(SPLIT(I39, CHAR(10)), NOT(REGEXMATCH(SPLIT(I39, CHAR(10)), "" name is too long""))))
   ),
 "&amp;"  """"
)"),"")</f>
        <v/>
      </c>
      <c r="L39" s="20">
        <f>IFERROR(__xludf.DUMMYFUNCTION("IF(K39="""", 0, COUNTA(SPLIT(K39, CHAR(10))))"),0.0)</f>
        <v>0</v>
      </c>
    </row>
    <row r="40">
      <c r="A40" s="18" t="s">
        <v>71</v>
      </c>
      <c r="B40" s="18" t="s">
        <v>63</v>
      </c>
      <c r="C40" s="18" t="s">
        <v>573</v>
      </c>
      <c r="D40" s="19">
        <v>335.0</v>
      </c>
      <c r="E40" s="11" t="s">
        <v>574</v>
      </c>
      <c r="F40" s="20">
        <f>IFERROR(__xludf.DUMMYFUNCTION("IF(E40="""", 0, COUNTA(SPLIT(E40, CHAR(10))))"),138.0)</f>
        <v>138</v>
      </c>
      <c r="G40" s="11" t="str">
        <f>IFERROR(__xludf.DUMMYFUNCTION("IFERROR(
   IF(
     COUNTA(FILTER(SPLIT(E40, CHAR(10)), NOT(REGEXMATCH(SPLIT(E40, CHAR(10)), "" name is too long"")))) = 0,
     """",
     JOIN(CHAR(10), FILTER(SPLIT(E40, CHAR(10)), NOT(REGEXMATCH(SPLIT(E40, CHAR(10)), "" name is too long""))))
   ),
 "&amp;"  """"
)"),"linha 3: Element Scenario too long: actual 19, expected 15
linha 25: Multiple empty lines are not allowed
linha 26: Multiple empty lines are not allowed
linha 27: Element Scenario too long: actual 19, expected 15
linha 49: Multiple empty lines are not all"&amp;"owed
linha 50: Multiple empty lines are not allowed
linha 51: Element Scenario too long: actual 20, expected 15
linha 74: Multiple empty lines are not allowed
linha 75: Multiple empty lines are not allowed
linha 76: Element Scenario too long: actual 17, e"&amp;"xpected 15
linha 96: Multiple empty lines are not allowed
linha 97: Multiple empty lines are not allowed
linha 105: Multiple empty lines are not allowed
linha 106: Multiple empty lines are not allowed
linha 114: Multiple empty lines are not allowed
linha "&amp;"115: Multiple empty lines are not allowed
linha 123: Multiple empty lines are not allowed
linha 124: Multiple empty lines are not allowed
linha 125: Element Scenario too long: actual 20, expected 15
linha 148: Multiple empty lines are not allowed
linha 14"&amp;"9: Multiple empty lines are not allowed
linha 157: Multiple empty lines are not allowed
linha 158: Multiple empty lines are not allowed
linha 166: Multiple empty lines are not allowed
linha 167: Multiple empty lines are not allowed
linha 176: Multiple emp"&amp;"ty lines are not allowed
linha 177: Multiple empty lines are not allowed
linha 185: Multiple empty lines are not allowed
linha 186: Multiple empty lines are not allowed
linha 194: Multiple empty lines are not allowed
linha 195: Multiple empty lines are no"&amp;"t allowed
linha 196: Element Scenario too long: actual 19, expected 15
linha 218: Multiple empty lines are not allowed
linha 219: Multiple empty lines are not allowed
linha 237: Multiple empty lines are not allowed
linha 238: Multiple empty lines are not "&amp;"allowed
linha 248: Multiple empty lines are not allowed
linha 249: Multiple empty lines are not allowed
linha 258: Multiple empty lines are not allowed
linha 259: Multiple empty lines are not allowed
linha 268: Multiple empty lines are not allowed
linha 2"&amp;"69: Multiple empty lines are not allowed
linha 270: Element Scenario too long: actual 20, expected 15
linha 293: Multiple empty lines are not allowed
linha 294: Multiple empty lines are not allowed")</f>
        <v>linha 3: Element Scenario too long: actual 19, expected 15
linha 25: Multiple empty lines are not allowed
linha 26: Multiple empty lines are not allowed
linha 27: Element Scenario too long: actual 19, expected 15
linha 49: Multiple empty lines are not allowed
linha 50: Multiple empty lines are not allowed
linha 51: Element Scenario too long: actual 20, expected 15
linha 74: Multiple empty lines are not allowed
linha 75: Multiple empty lines are not allowed
linha 76: Element Scenario too long: actual 17, expected 15
linha 96: Multiple empty lines are not allowed
linha 97: Multiple empty lines are not allowed
linha 105: Multiple empty lines are not allowed
linha 106: Multiple empty lines are not allowed
linha 114: Multiple empty lines are not allowed
linha 115: Multiple empty lines are not allowed
linha 123: Multiple empty lines are not allowed
linha 124: Multiple empty lines are not allowed
linha 125: Element Scenario too long: actual 20, expected 15
linha 148: Multiple empty lines are not allowed
linha 149: Multiple empty lines are not allowed
linha 157: Multiple empty lines are not allowed
linha 158: Multiple empty lines are not allowed
linha 166: Multiple empty lines are not allowed
linha 167: Multiple empty lines are not allowed
linha 176: Multiple empty lines are not allowed
linha 177: Multiple empty lines are not allowed
linha 185: Multiple empty lines are not allowed
linha 186: Multiple empty lines are not allowed
linha 194: Multiple empty lines are not allowed
linha 195: Multiple empty lines are not allowed
linha 196: Element Scenario too long: actual 19, expected 15
linha 218: Multiple empty lines are not allowed
linha 219: Multiple empty lines are not allowed
linha 237: Multiple empty lines are not allowed
linha 238: Multiple empty lines are not allowed
linha 248: Multiple empty lines are not allowed
linha 249: Multiple empty lines are not allowed
linha 258: Multiple empty lines are not allowed
linha 259: Multiple empty lines are not allowed
linha 268: Multiple empty lines are not allowed
linha 269: Multiple empty lines are not allowed
linha 270: Element Scenario too long: actual 20, expected 15
linha 293: Multiple empty lines are not allowed
linha 294: Multiple empty lines are not allowed</v>
      </c>
      <c r="H40" s="20">
        <f>IFERROR(__xludf.DUMMYFUNCTION("IF(G40="""", 0, COUNTA(SPLIT(G40, CHAR(10))))"),45.0)</f>
        <v>45</v>
      </c>
      <c r="I40" s="11" t="s">
        <v>575</v>
      </c>
      <c r="J40" s="20">
        <f>IFERROR(__xludf.DUMMYFUNCTION("IF(I40="""", 0, COUNTA(SPLIT(I40, CHAR(10))))"),100.0)</f>
        <v>100</v>
      </c>
      <c r="K40" s="11" t="str">
        <f>IFERROR(__xludf.DUMMYFUNCTION("IFERROR(
   IF(
     COUNTA(FILTER(SPLIT(I40, CHAR(10)), NOT(REGEXMATCH(SPLIT(I40, CHAR(10)), "" name is too long"")))) = 0,
     """",
     JOIN(CHAR(10), FILTER(SPLIT(I40, CHAR(10)), NOT(REGEXMATCH(SPLIT(I40, CHAR(10)), "" name is too long""))))
   ),
 "&amp;"  """"
)"),"linha 3: Element Scenario too long: actual 19, expected 15
linha 27: Element Scenario too long: actual 19, expected 15
linha 51: Element Scenario too long: actual 20, expected 15
linha 76: Element Scenario too long: actual 17, expected 15
linha 125: Eleme"&amp;"nt Scenario too long: actual 20, expected 15
linha 196: Element Scenario too long: actual 19, expected 15
linha 270: Element Scenario too long: actual 20, expected 15")</f>
        <v>linha 3: Element Scenario too long: actual 19, expected 15
linha 27: Element Scenario too long: actual 19, expected 15
linha 51: Element Scenario too long: actual 20, expected 15
linha 76: Element Scenario too long: actual 17, expected 15
linha 125: Element Scenario too long: actual 20, expected 15
linha 196: Element Scenario too long: actual 19, expected 15
linha 270: Element Scenario too long: actual 20, expected 15</v>
      </c>
      <c r="L40" s="20">
        <f>IFERROR(__xludf.DUMMYFUNCTION("IF(K40="""", 0, COUNTA(SPLIT(K40, CHAR(10))))"),7.0)</f>
        <v>7</v>
      </c>
    </row>
    <row r="41">
      <c r="A41" s="18" t="s">
        <v>75</v>
      </c>
      <c r="B41" s="18" t="s">
        <v>63</v>
      </c>
      <c r="C41" s="18" t="s">
        <v>576</v>
      </c>
      <c r="D41" s="19">
        <v>64.0</v>
      </c>
      <c r="E41" s="11" t="s">
        <v>577</v>
      </c>
      <c r="F41" s="20">
        <f>IFERROR(__xludf.DUMMYFUNCTION("IF(E41="""", 0, COUNTA(SPLIT(E41, CHAR(10))))"),21.0)</f>
        <v>21</v>
      </c>
      <c r="G41" s="11" t="str">
        <f>IFERROR(__xludf.DUMMYFUNCTION("IFERROR(
   IF(
     COUNTA(FILTER(SPLIT(E41, CHAR(10)), NOT(REGEXMATCH(SPLIT(E41, CHAR(10)), "" name is too long"")))) = 0,
     """",
     JOIN(CHAR(10), FILTER(SPLIT(E41, CHAR(10)), NOT(REGEXMATCH(SPLIT(E41, CHAR(10)), "" name is too long""))))
   ),
 "&amp;"  """"
)"),"linha 11: Multiple empty lines are not allowed
linha 12: Multiple empty lines are not allowed
linha 22: Multiple empty lines are not allowed
linha 23: Multiple empty lines are not allowed
linha 32: Multiple empty lines are not allowed
linha 33: Multiple e"&amp;"mpty lines are not allowed
linha 42: Multiple empty lines are not allowed
linha 43: Multiple empty lines are not allowed
linha 52: Multiple empty lines are not allowed
linha 53: Multiple empty lines are not allowed
linha 62: Multiple empty lines are not a"&amp;"llowed
linha 63: Multiple empty lines are not allowed
linha 72: Multiple empty lines are not allowed
linha 73: Multiple empty lines are not allowed
linha 84: Multiple empty lines are not allowed
linha 85: Multiple empty lines are not allowed")</f>
        <v>linha 11: Multiple empty lines are not allowed
linha 12: Multiple empty lines are not allowed
linha 22: Multiple empty lines are not allowed
linha 23: Multiple empty lines are not allowed
linha 32: Multiple empty lines are not allowed
linha 33: Multiple empty lines are not allowed
linha 42: Multiple empty lines are not allowed
linha 43: Multiple empty lines are not allowed
linha 52: Multiple empty lines are not allowed
linha 53: Multiple empty lines are not allowed
linha 62: Multiple empty lines are not allowed
linha 63: Multiple empty lines are not allowed
linha 72: Multiple empty lines are not allowed
linha 73: Multiple empty lines are not allowed
linha 84: Multiple empty lines are not allowed
linha 85: Multiple empty lines are not allowed</v>
      </c>
      <c r="H41" s="20">
        <f>IFERROR(__xludf.DUMMYFUNCTION("IF(G41="""", 0, COUNTA(SPLIT(G41, CHAR(10))))"),16.0)</f>
        <v>16</v>
      </c>
      <c r="I41" s="11" t="s">
        <v>578</v>
      </c>
      <c r="J41" s="20">
        <f>IFERROR(__xludf.DUMMYFUNCTION("IF(I41="""", 0, COUNTA(SPLIT(I41, CHAR(10))))"),5.0)</f>
        <v>5</v>
      </c>
      <c r="K41" s="11" t="str">
        <f>IFERROR(__xludf.DUMMYFUNCTION("IFERROR(
   IF(
     COUNTA(FILTER(SPLIT(I41, CHAR(10)), NOT(REGEXMATCH(SPLIT(I41, CHAR(10)), "" name is too long"")))) = 0,
     """",
     JOIN(CHAR(10), FILTER(SPLIT(I41, CHAR(10)), NOT(REGEXMATCH(SPLIT(I41, CHAR(10)), "" name is too long""))))
   ),
 "&amp;"  """"
)"),"")</f>
        <v/>
      </c>
      <c r="L41" s="20">
        <f>IFERROR(__xludf.DUMMYFUNCTION("IF(K41="""", 0, COUNTA(SPLIT(K41, CHAR(10))))"),0.0)</f>
        <v>0</v>
      </c>
    </row>
    <row r="42">
      <c r="A42" s="18" t="s">
        <v>283</v>
      </c>
      <c r="B42" s="18" t="s">
        <v>284</v>
      </c>
      <c r="C42" s="18" t="s">
        <v>579</v>
      </c>
      <c r="D42" s="19">
        <v>22.0</v>
      </c>
      <c r="E42" s="11" t="s">
        <v>580</v>
      </c>
      <c r="F42" s="20">
        <f>IFERROR(__xludf.DUMMYFUNCTION("IF(E42="""", 0, COUNTA(SPLIT(E42, CHAR(10))))"),6.0)</f>
        <v>6</v>
      </c>
      <c r="G42" s="11" t="str">
        <f>IFERROR(__xludf.DUMMYFUNCTION("IFERROR(
   IF(
     COUNTA(FILTER(SPLIT(E42, CHAR(10)), NOT(REGEXMATCH(SPLIT(E42, CHAR(10)), "" name is too long"")))) = 0,
     """",
     JOIN(CHAR(10), FILTER(SPLIT(E42, CHAR(10)), NOT(REGEXMATCH(SPLIT(E42, CHAR(10)), "" name is too long""))))
   ),
 "&amp;"  """"
)"),"linha 3: Element Scenario too long: actual 16, expected 15
linha 9: Step ""When I follow ""Add a New Service"""" should not appear after step using keyword then
linha 14: Step ""When I follow ""Edit"""" should not appear after step using keyword then
linh"&amp;"a 18: Step ""When I follow ""Delete"""" should not appear after step using keyword then
linha 21: Multiple empty lines are not allowed
linha 22: Multiple empty lines are not allowed")</f>
        <v>linha 3: Element Scenario too long: actual 16, expected 15
linha 9: Step "When I follow "Add a New Service"" should not appear after step using keyword then
linha 14: Step "When I follow "Edit"" should not appear after step using keyword then
linha 18: Step "When I follow "Delete"" should not appear after step using keyword then
linha 21: Multiple empty lines are not allowed
linha 22: Multiple empty lines are not allowed</v>
      </c>
      <c r="H42" s="20">
        <f>IFERROR(__xludf.DUMMYFUNCTION("IF(G42="""", 0, COUNTA(SPLIT(G42, CHAR(10))))"),6.0)</f>
        <v>6</v>
      </c>
      <c r="I42" s="11" t="s">
        <v>581</v>
      </c>
      <c r="J42" s="20">
        <f>IFERROR(__xludf.DUMMYFUNCTION("IF(I42="""", 0, COUNTA(SPLIT(I42, CHAR(10))))"),4.0)</f>
        <v>4</v>
      </c>
      <c r="K42" s="11" t="str">
        <f>IFERROR(__xludf.DUMMYFUNCTION("IFERROR(
   IF(
     COUNTA(FILTER(SPLIT(I42, CHAR(10)), NOT(REGEXMATCH(SPLIT(I42, CHAR(10)), "" name is too long"")))) = 0,
     """",
     JOIN(CHAR(10), FILTER(SPLIT(I42, CHAR(10)), NOT(REGEXMATCH(SPLIT(I42, CHAR(10)), "" name is too long""))))
   ),
 "&amp;"  """"
)"),"linha 3: Element Scenario too long: actual 16, expected 15
linha 9: Step ""When I follow ""Add a New Service"""" should not appear after step using keyword then
linha 14: Step ""When I follow ""Edit"""" should not appear after step using keyword then
linh"&amp;"a 18: Step ""When I follow ""Delete"""" should not appear after step using keyword then")</f>
        <v>linha 3: Element Scenario too long: actual 16, expected 15
linha 9: Step "When I follow "Add a New Service"" should not appear after step using keyword then
linha 14: Step "When I follow "Edit"" should not appear after step using keyword then
linha 18: Step "When I follow "Delete"" should not appear after step using keyword then</v>
      </c>
      <c r="L42" s="20">
        <f>IFERROR(__xludf.DUMMYFUNCTION("IF(K42="""", 0, COUNTA(SPLIT(K42, CHAR(10))))"),4.0)</f>
        <v>4</v>
      </c>
    </row>
    <row r="43">
      <c r="A43" s="18" t="s">
        <v>288</v>
      </c>
      <c r="B43" s="18" t="s">
        <v>284</v>
      </c>
      <c r="C43" s="18" t="s">
        <v>582</v>
      </c>
      <c r="D43" s="19">
        <v>21.0</v>
      </c>
      <c r="E43" s="11" t="s">
        <v>583</v>
      </c>
      <c r="F43" s="20">
        <f>IFERROR(__xludf.DUMMYFUNCTION("IF(E43="""", 0, COUNTA(SPLIT(E43, CHAR(10))))"),5.0)</f>
        <v>5</v>
      </c>
      <c r="G43" s="11" t="str">
        <f>IFERROR(__xludf.DUMMYFUNCTION("IFERROR(
   IF(
     COUNTA(FILTER(SPLIT(E43, CHAR(10)), NOT(REGEXMATCH(SPLIT(E43, CHAR(10)), "" name is too long"")))) = 0,
     """",
     JOIN(CHAR(10), FILTER(SPLIT(E43, CHAR(10)), NOT(REGEXMATCH(SPLIT(E43, CHAR(10)), "" name is too long""))))
   ),
 "&amp;"  """"
)"),"linha 3: Element Scenario too long: actual 16, expected 15
linha 12: Step ""When I follow ""Edit"""" should not appear after step using keyword then
linha 18: Step ""When I follow ""Delete"""" should not appear after step using keyword then
linha 21: Mult"&amp;"iple empty lines are not allowed
linha 22: Multiple empty lines are not allowed")</f>
        <v>linha 3: Element Scenario too long: actual 16, expected 15
linha 12: Step "When I follow "Edit"" should not appear after step using keyword then
linha 18: Step "When I follow "Delete"" should not appear after step using keyword then
linha 21: Multiple empty lines are not allowed
linha 22: Multiple empty lines are not allowed</v>
      </c>
      <c r="H43" s="20">
        <f>IFERROR(__xludf.DUMMYFUNCTION("IF(G43="""", 0, COUNTA(SPLIT(G43, CHAR(10))))"),5.0)</f>
        <v>5</v>
      </c>
      <c r="I43" s="11" t="s">
        <v>584</v>
      </c>
      <c r="J43" s="20">
        <f>IFERROR(__xludf.DUMMYFUNCTION("IF(I43="""", 0, COUNTA(SPLIT(I43, CHAR(10))))"),3.0)</f>
        <v>3</v>
      </c>
      <c r="K43" s="11" t="str">
        <f>IFERROR(__xludf.DUMMYFUNCTION("IFERROR(
   IF(
     COUNTA(FILTER(SPLIT(I43, CHAR(10)), NOT(REGEXMATCH(SPLIT(I43, CHAR(10)), "" name is too long"")))) = 0,
     """",
     JOIN(CHAR(10), FILTER(SPLIT(I43, CHAR(10)), NOT(REGEXMATCH(SPLIT(I43, CHAR(10)), "" name is too long""))))
   ),
 "&amp;"  """"
)"),"linha 3: Element Scenario too long: actual 16, expected 15
linha 12: Step ""When I follow ""Edit"""" should not appear after step using keyword then
linha 18: Step ""When I follow ""Delete"""" should not appear after step using keyword then")</f>
        <v>linha 3: Element Scenario too long: actual 16, expected 15
linha 12: Step "When I follow "Edit"" should not appear after step using keyword then
linha 18: Step "When I follow "Delete"" should not appear after step using keyword then</v>
      </c>
      <c r="L43" s="20">
        <f>IFERROR(__xludf.DUMMYFUNCTION("IF(K43="""", 0, COUNTA(SPLIT(K43, CHAR(10))))"),3.0)</f>
        <v>3</v>
      </c>
    </row>
    <row r="44">
      <c r="A44" s="18" t="s">
        <v>292</v>
      </c>
      <c r="B44" s="18" t="s">
        <v>284</v>
      </c>
      <c r="C44" s="18" t="s">
        <v>585</v>
      </c>
      <c r="D44" s="19">
        <v>11.0</v>
      </c>
      <c r="E44" s="11" t="s">
        <v>586</v>
      </c>
      <c r="F44" s="20">
        <f>IFERROR(__xludf.DUMMYFUNCTION("IF(E44="""", 0, COUNTA(SPLIT(E44, CHAR(10))))"),2.0)</f>
        <v>2</v>
      </c>
      <c r="G44" s="11" t="str">
        <f>IFERROR(__xludf.DUMMYFUNCTION("IFERROR(
   IF(
     COUNTA(FILTER(SPLIT(E44, CHAR(10)), NOT(REGEXMATCH(SPLIT(E44, CHAR(10)), "" name is too long"")))) = 0,
     """",
     JOIN(CHAR(10), FILTER(SPLIT(E44, CHAR(10)), NOT(REGEXMATCH(SPLIT(E44, CHAR(10)), "" name is too long""))))
   ),
 "&amp;"  """"
)"),"linha 14: Multiple empty lines are not allowed
linha 15: Multiple empty lines are not allowed")</f>
        <v>linha 14: Multiple empty lines are not allowed
linha 15: Multiple empty lines are not allowed</v>
      </c>
      <c r="H44" s="20">
        <f>IFERROR(__xludf.DUMMYFUNCTION("IF(G44="""", 0, COUNTA(SPLIT(G44, CHAR(10))))"),2.0)</f>
        <v>2</v>
      </c>
      <c r="J44" s="20">
        <f>IFERROR(__xludf.DUMMYFUNCTION("IF(I44="""", 0, COUNTA(SPLIT(I44, CHAR(10))))"),0.0)</f>
        <v>0</v>
      </c>
      <c r="K44" s="11" t="str">
        <f>IFERROR(__xludf.DUMMYFUNCTION("IFERROR(
   IF(
     COUNTA(FILTER(SPLIT(I44, CHAR(10)), NOT(REGEXMATCH(SPLIT(I44, CHAR(10)), "" name is too long"")))) = 0,
     """",
     JOIN(CHAR(10), FILTER(SPLIT(I44, CHAR(10)), NOT(REGEXMATCH(SPLIT(I44, CHAR(10)), "" name is too long""))))
   ),
 "&amp;"  """"
)"),"")</f>
        <v/>
      </c>
      <c r="L44" s="20">
        <f>IFERROR(__xludf.DUMMYFUNCTION("IF(K44="""", 0, COUNTA(SPLIT(K44, CHAR(10))))"),0.0)</f>
        <v>0</v>
      </c>
    </row>
    <row r="45">
      <c r="A45" s="18" t="s">
        <v>296</v>
      </c>
      <c r="B45" s="18" t="s">
        <v>284</v>
      </c>
      <c r="C45" s="18" t="s">
        <v>587</v>
      </c>
      <c r="D45" s="19">
        <v>21.0</v>
      </c>
      <c r="E45" s="11" t="s">
        <v>588</v>
      </c>
      <c r="F45" s="20">
        <f>IFERROR(__xludf.DUMMYFUNCTION("IF(E45="""", 0, COUNTA(SPLIT(E45, CHAR(10))))"),5.0)</f>
        <v>5</v>
      </c>
      <c r="G45" s="11" t="str">
        <f>IFERROR(__xludf.DUMMYFUNCTION("IFERROR(
   IF(
     COUNTA(FILTER(SPLIT(E45, CHAR(10)), NOT(REGEXMATCH(SPLIT(E45, CHAR(10)), "" name is too long"")))) = 0,
     """",
     JOIN(CHAR(10), FILTER(SPLIT(E45, CHAR(10)), NOT(REGEXMATCH(SPLIT(E45, CHAR(10)), "" name is too long""))))
   ),
 "&amp;"  """"
)"),"linha 3: Element Scenario too long: actual 16, expected 15
linha 13: Step ""When I follow ""New page"""" should not appear after step using keyword then
linha 17: Step ""When I follow ""general.delete"" translation"" should not appear after step using key"&amp;"word then
linha 21: Multiple empty lines are not allowed
linha 22: Multiple empty lines are not allowed")</f>
        <v>linha 3: Element Scenario too long: actual 16, expected 15
linha 13: Step "When I follow "New page"" should not appear after step using keyword then
linha 17: Step "When I follow "general.delete" translation" should not appear after step using keyword then
linha 21: Multiple empty lines are not allowed
linha 22: Multiple empty lines are not allowed</v>
      </c>
      <c r="H45" s="20">
        <f>IFERROR(__xludf.DUMMYFUNCTION("IF(G45="""", 0, COUNTA(SPLIT(G45, CHAR(10))))"),5.0)</f>
        <v>5</v>
      </c>
      <c r="I45" s="11" t="s">
        <v>589</v>
      </c>
      <c r="J45" s="20">
        <f>IFERROR(__xludf.DUMMYFUNCTION("IF(I45="""", 0, COUNTA(SPLIT(I45, CHAR(10))))"),3.0)</f>
        <v>3</v>
      </c>
      <c r="K45" s="11" t="str">
        <f>IFERROR(__xludf.DUMMYFUNCTION("IFERROR(
   IF(
     COUNTA(FILTER(SPLIT(I45, CHAR(10)), NOT(REGEXMATCH(SPLIT(I45, CHAR(10)), "" name is too long"")))) = 0,
     """",
     JOIN(CHAR(10), FILTER(SPLIT(I45, CHAR(10)), NOT(REGEXMATCH(SPLIT(I45, CHAR(10)), "" name is too long""))))
   ),
 "&amp;"  """"
)"),"linha 3: Element Scenario too long: actual 16, expected 15
linha 13: Step ""When I follow ""New page"""" should not appear after step using keyword then
linha 17: Step ""When I follow ""general.delete"" translation"" should not appear after step using key"&amp;"word then")</f>
        <v>linha 3: Element Scenario too long: actual 16, expected 15
linha 13: Step "When I follow "New page"" should not appear after step using keyword then
linha 17: Step "When I follow "general.delete" translation" should not appear after step using keyword then</v>
      </c>
      <c r="L45" s="20">
        <f>IFERROR(__xludf.DUMMYFUNCTION("IF(K45="""", 0, COUNTA(SPLIT(K45, CHAR(10))))"),3.0)</f>
        <v>3</v>
      </c>
    </row>
    <row r="46">
      <c r="A46" s="18" t="s">
        <v>79</v>
      </c>
      <c r="B46" s="18" t="s">
        <v>80</v>
      </c>
      <c r="C46" s="18" t="s">
        <v>590</v>
      </c>
      <c r="D46" s="19">
        <v>31.0</v>
      </c>
      <c r="E46" s="11" t="s">
        <v>591</v>
      </c>
      <c r="F46" s="20">
        <f>IFERROR(__xludf.DUMMYFUNCTION("IF(E46="""", 0, COUNTA(SPLIT(E46, CHAR(10))))"),8.0)</f>
        <v>8</v>
      </c>
      <c r="G46" s="11" t="str">
        <f>IFERROR(__xludf.DUMMYFUNCTION("IFERROR(
   IF(
     COUNTA(FILTER(SPLIT(E46, CHAR(10)), NOT(REGEXMATCH(SPLIT(E46, CHAR(10)), "" name is too long"")))) = 0,
     """",
     JOIN(CHAR(10), FILTER(SPLIT(E46, CHAR(10)), NOT(REGEXMATCH(SPLIT(E46, CHAR(10)), "" name is too long""))))
   ),
 "&amp;"  """"
)"),"linha 8: Multiple empty lines are not allowed
linha 9: Multiple empty lines are not allowed
linha 21: Multiple empty lines are not allowed
linha 22: Multiple empty lines are not allowed
linha 33: Multiple empty lines are not allowed
linha 34: Multiple emp"&amp;"ty lines are not allowed
linha 43: Multiple empty lines are not allowed
linha 44: Multiple empty lines are not allowed")</f>
        <v>linha 8: Multiple empty lines are not allowed
linha 9: Multiple empty lines are not allowed
linha 21: Multiple empty lines are not allowed
linha 22: Multiple empty lines are not allowed
linha 33: Multiple empty lines are not allowed
linha 34: Multiple empty lines are not allowed
linha 43: Multiple empty lines are not allowed
linha 44: Multiple empty lines are not allowed</v>
      </c>
      <c r="H46" s="20">
        <f>IFERROR(__xludf.DUMMYFUNCTION("IF(G46="""", 0, COUNTA(SPLIT(G46, CHAR(10))))"),8.0)</f>
        <v>8</v>
      </c>
      <c r="J46" s="20">
        <f>IFERROR(__xludf.DUMMYFUNCTION("IF(I46="""", 0, COUNTA(SPLIT(I46, CHAR(10))))"),0.0)</f>
        <v>0</v>
      </c>
      <c r="K46" s="11" t="str">
        <f>IFERROR(__xludf.DUMMYFUNCTION("IFERROR(
   IF(
     COUNTA(FILTER(SPLIT(I46, CHAR(10)), NOT(REGEXMATCH(SPLIT(I46, CHAR(10)), "" name is too long"")))) = 0,
     """",
     JOIN(CHAR(10), FILTER(SPLIT(I46, CHAR(10)), NOT(REGEXMATCH(SPLIT(I46, CHAR(10)), "" name is too long""))))
   ),
 "&amp;"  """"
)"),"")</f>
        <v/>
      </c>
      <c r="L46" s="20">
        <f>IFERROR(__xludf.DUMMYFUNCTION("IF(K46="""", 0, COUNTA(SPLIT(K46, CHAR(10))))"),0.0)</f>
        <v>0</v>
      </c>
    </row>
    <row r="47">
      <c r="A47" s="18" t="s">
        <v>84</v>
      </c>
      <c r="B47" s="18" t="s">
        <v>80</v>
      </c>
      <c r="C47" s="18" t="s">
        <v>592</v>
      </c>
      <c r="D47" s="19">
        <v>80.0</v>
      </c>
      <c r="E47" s="11" t="s">
        <v>593</v>
      </c>
      <c r="F47" s="20">
        <f>IFERROR(__xludf.DUMMYFUNCTION("IF(E47="""", 0, COUNTA(SPLIT(E47, CHAR(10))))"),20.0)</f>
        <v>20</v>
      </c>
      <c r="G47" s="11" t="str">
        <f>IFERROR(__xludf.DUMMYFUNCTION("IFERROR(
   IF(
     COUNTA(FILTER(SPLIT(E47, CHAR(10)), NOT(REGEXMATCH(SPLIT(E47, CHAR(10)), "" name is too long"")))) = 0,
     """",
     JOIN(CHAR(10), FILTER(SPLIT(E47, CHAR(10)), NOT(REGEXMATCH(SPLIT(E47, CHAR(10)), "" name is too long""))))
   ),
 "&amp;"  """"
)"),"linha 12: Multiple empty lines are not allowed
linha 13: Multiple empty lines are not allowed
linha 22: Multiple empty lines are not allowed
linha 23: Multiple empty lines are not allowed
linha 33: Multiple empty lines are not allowed
linha 34: Multiple e"&amp;"mpty lines are not allowed
linha 44: Multiple empty lines are not allowed
linha 45: Multiple empty lines are not allowed
linha 54: Multiple empty lines are not allowed
linha 55: Multiple empty lines are not allowed
linha 61: Multiple empty lines are not a"&amp;"llowed
linha 62: Multiple empty lines are not allowed
linha 71: Multiple empty lines are not allowed
linha 72: Multiple empty lines are not allowed
linha 81: Multiple empty lines are not allowed
linha 82: Multiple empty lines are not allowed
linha 91: Mul"&amp;"tiple empty lines are not allowed
linha 92: Multiple empty lines are not allowed
linha 101: Multiple empty lines are not allowed
linha 102: Multiple empty lines are not allowed")</f>
        <v>linha 12: Multiple empty lines are not allowed
linha 13: Multiple empty lines are not allowed
linha 22: Multiple empty lines are not allowed
linha 23: Multiple empty lines are not allowed
linha 33: Multiple empty lines are not allowed
linha 34: Multiple empty lines are not allowed
linha 44: Multiple empty lines are not allowed
linha 45: Multiple empty lines are not allowed
linha 54: Multiple empty lines are not allowed
linha 55: Multiple empty lines are not allowed
linha 61: Multiple empty lines are not allowed
linha 62: Multiple empty lines are not allowed
linha 71: Multiple empty lines are not allowed
linha 72: Multiple empty lines are not allowed
linha 81: Multiple empty lines are not allowed
linha 82: Multiple empty lines are not allowed
linha 91: Multiple empty lines are not allowed
linha 92: Multiple empty lines are not allowed
linha 101: Multiple empty lines are not allowed
linha 102: Multiple empty lines are not allowed</v>
      </c>
      <c r="H47" s="20">
        <f>IFERROR(__xludf.DUMMYFUNCTION("IF(G47="""", 0, COUNTA(SPLIT(G47, CHAR(10))))"),20.0)</f>
        <v>20</v>
      </c>
      <c r="J47" s="20">
        <f>IFERROR(__xludf.DUMMYFUNCTION("IF(I47="""", 0, COUNTA(SPLIT(I47, CHAR(10))))"),0.0)</f>
        <v>0</v>
      </c>
      <c r="K47" s="11" t="str">
        <f>IFERROR(__xludf.DUMMYFUNCTION("IFERROR(
   IF(
     COUNTA(FILTER(SPLIT(I47, CHAR(10)), NOT(REGEXMATCH(SPLIT(I47, CHAR(10)), "" name is too long"")))) = 0,
     """",
     JOIN(CHAR(10), FILTER(SPLIT(I47, CHAR(10)), NOT(REGEXMATCH(SPLIT(I47, CHAR(10)), "" name is too long""))))
   ),
 "&amp;"  """"
)"),"")</f>
        <v/>
      </c>
      <c r="L47" s="20">
        <f>IFERROR(__xludf.DUMMYFUNCTION("IF(K47="""", 0, COUNTA(SPLIT(K47, CHAR(10))))"),0.0)</f>
        <v>0</v>
      </c>
    </row>
    <row r="48">
      <c r="A48" s="18" t="s">
        <v>88</v>
      </c>
      <c r="B48" s="18" t="s">
        <v>80</v>
      </c>
      <c r="C48" s="18" t="s">
        <v>594</v>
      </c>
      <c r="D48" s="19">
        <v>56.0</v>
      </c>
      <c r="E48" s="11" t="s">
        <v>595</v>
      </c>
      <c r="F48" s="20">
        <f>IFERROR(__xludf.DUMMYFUNCTION("IF(E48="""", 0, COUNTA(SPLIT(E48, CHAR(10))))"),14.0)</f>
        <v>14</v>
      </c>
      <c r="G48" s="11" t="str">
        <f>IFERROR(__xludf.DUMMYFUNCTION("IFERROR(
   IF(
     COUNTA(FILTER(SPLIT(E48, CHAR(10)), NOT(REGEXMATCH(SPLIT(E48, CHAR(10)), "" name is too long"")))) = 0,
     """",
     JOIN(CHAR(10), FILTER(SPLIT(E48, CHAR(10)), NOT(REGEXMATCH(SPLIT(E48, CHAR(10)), "" name is too long""))))
   ),
 "&amp;"  """"
)"),"linha 12: Multiple empty lines are not allowed
linha 13: Multiple empty lines are not allowed
linha 29: Multiple empty lines are not allowed
linha 30: Multiple empty lines are not allowed
linha 37: Multiple empty lines are not allowed
linha 38: Multiple e"&amp;"mpty lines are not allowed
linha 53: Multiple empty lines are not allowed
linha 54: Multiple empty lines are not allowed
linha 63: Multiple empty lines are not allowed
linha 64: Multiple empty lines are not allowed")</f>
        <v>linha 12: Multiple empty lines are not allowed
linha 13: Multiple empty lines are not allowed
linha 29: Multiple empty lines are not allowed
linha 30: Multiple empty lines are not allowed
linha 37: Multiple empty lines are not allowed
linha 38: Multiple empty lines are not allowed
linha 53: Multiple empty lines are not allowed
linha 54: Multiple empty lines are not allowed
linha 63: Multiple empty lines are not allowed
linha 64: Multiple empty lines are not allowed</v>
      </c>
      <c r="H48" s="20">
        <f>IFERROR(__xludf.DUMMYFUNCTION("IF(G48="""", 0, COUNTA(SPLIT(G48, CHAR(10))))"),10.0)</f>
        <v>10</v>
      </c>
      <c r="I48" s="11" t="s">
        <v>596</v>
      </c>
      <c r="J48" s="20">
        <f>IFERROR(__xludf.DUMMYFUNCTION("IF(I48="""", 0, COUNTA(SPLIT(I48, CHAR(10))))"),4.0)</f>
        <v>4</v>
      </c>
      <c r="K48" s="11" t="str">
        <f>IFERROR(__xludf.DUMMYFUNCTION("IFERROR(
   IF(
     COUNTA(FILTER(SPLIT(I48, CHAR(10)), NOT(REGEXMATCH(SPLIT(I48, CHAR(10)), "" name is too long"")))) = 0,
     """",
     JOIN(CHAR(10), FILTER(SPLIT(I48, CHAR(10)), NOT(REGEXMATCH(SPLIT(I48, CHAR(10)), "" name is too long""))))
   ),
 "&amp;"  """"
)"),"")</f>
        <v/>
      </c>
      <c r="L48" s="20">
        <f>IFERROR(__xludf.DUMMYFUNCTION("IF(K48="""", 0, COUNTA(SPLIT(K48, CHAR(10))))"),0.0)</f>
        <v>0</v>
      </c>
    </row>
    <row r="49">
      <c r="A49" s="18" t="s">
        <v>92</v>
      </c>
      <c r="B49" s="18" t="s">
        <v>80</v>
      </c>
      <c r="C49" s="18" t="s">
        <v>597</v>
      </c>
      <c r="D49" s="19">
        <v>67.0</v>
      </c>
      <c r="E49" s="11" t="s">
        <v>598</v>
      </c>
      <c r="F49" s="20">
        <f>IFERROR(__xludf.DUMMYFUNCTION("IF(E49="""", 0, COUNTA(SPLIT(E49, CHAR(10))))"),18.0)</f>
        <v>18</v>
      </c>
      <c r="G49" s="11" t="str">
        <f>IFERROR(__xludf.DUMMYFUNCTION("IFERROR(
   IF(
     COUNTA(FILTER(SPLIT(E49, CHAR(10)), NOT(REGEXMATCH(SPLIT(E49, CHAR(10)), "" name is too long"")))) = 0,
     """",
     JOIN(CHAR(10), FILTER(SPLIT(E49, CHAR(10)), NOT(REGEXMATCH(SPLIT(E49, CHAR(10)), "" name is too long""))))
   ),
 "&amp;"  """"
)"),"linha 9: Multiple empty lines are not allowed
linha 10: Multiple empty lines are not allowed
linha 19: Multiple empty lines are not allowed
linha 20: Multiple empty lines are not allowed
linha 29: Multiple empty lines are not allowed
linha 30: Multiple em"&amp;"pty lines are not allowed
linha 39: Multiple empty lines are not allowed
linha 40: Multiple empty lines are not allowed
linha 49: Multiple empty lines are not allowed
linha 50: Multiple empty lines are not allowed
linha 58: Multiple empty lines are not al"&amp;"lowed
linha 59: Multiple empty lines are not allowed
linha 67: Multiple empty lines are not allowed
linha 68: Multiple empty lines are not allowed
linha 77: Multiple empty lines are not allowed
linha 78: Multiple empty lines are not allowed
linha 86: Mult"&amp;"iple empty lines are not allowed
linha 87: Multiple empty lines are not allowed")</f>
        <v>linha 9: Multiple empty lines are not allowed
linha 10: Multiple empty lines are not allowed
linha 19: Multiple empty lines are not allowed
linha 20: Multiple empty lines are not allowed
linha 29: Multiple empty lines are not allowed
linha 30: Multiple empty lines are not allowed
linha 39: Multiple empty lines are not allowed
linha 40: Multiple empty lines are not allowed
linha 49: Multiple empty lines are not allowed
linha 50: Multiple empty lines are not allowed
linha 58: Multiple empty lines are not allowed
linha 59: Multiple empty lines are not allowed
linha 67: Multiple empty lines are not allowed
linha 68: Multiple empty lines are not allowed
linha 77: Multiple empty lines are not allowed
linha 78: Multiple empty lines are not allowed
linha 86: Multiple empty lines are not allowed
linha 87: Multiple empty lines are not allowed</v>
      </c>
      <c r="H49" s="20">
        <f>IFERROR(__xludf.DUMMYFUNCTION("IF(G49="""", 0, COUNTA(SPLIT(G49, CHAR(10))))"),18.0)</f>
        <v>18</v>
      </c>
      <c r="J49" s="20">
        <f>IFERROR(__xludf.DUMMYFUNCTION("IF(I49="""", 0, COUNTA(SPLIT(I49, CHAR(10))))"),0.0)</f>
        <v>0</v>
      </c>
      <c r="K49" s="11" t="str">
        <f>IFERROR(__xludf.DUMMYFUNCTION("IFERROR(
   IF(
     COUNTA(FILTER(SPLIT(I49, CHAR(10)), NOT(REGEXMATCH(SPLIT(I49, CHAR(10)), "" name is too long"")))) = 0,
     """",
     JOIN(CHAR(10), FILTER(SPLIT(I49, CHAR(10)), NOT(REGEXMATCH(SPLIT(I49, CHAR(10)), "" name is too long""))))
   ),
 "&amp;"  """"
)"),"")</f>
        <v/>
      </c>
      <c r="L49" s="20">
        <f>IFERROR(__xludf.DUMMYFUNCTION("IF(K49="""", 0, COUNTA(SPLIT(K49, CHAR(10))))"),0.0)</f>
        <v>0</v>
      </c>
    </row>
    <row r="50">
      <c r="A50" s="18" t="s">
        <v>96</v>
      </c>
      <c r="B50" s="18" t="s">
        <v>97</v>
      </c>
      <c r="C50" s="18" t="s">
        <v>599</v>
      </c>
      <c r="D50" s="19">
        <v>32.0</v>
      </c>
      <c r="E50" s="11" t="s">
        <v>600</v>
      </c>
      <c r="F50" s="20">
        <f>IFERROR(__xludf.DUMMYFUNCTION("IF(E50="""", 0, COUNTA(SPLIT(E50, CHAR(10))))"),11.0)</f>
        <v>11</v>
      </c>
      <c r="G50" s="11" t="str">
        <f>IFERROR(__xludf.DUMMYFUNCTION("IFERROR(
   IF(
     COUNTA(FILTER(SPLIT(E50, CHAR(10)), NOT(REGEXMATCH(SPLIT(E50, CHAR(10)), "" name is too long"")))) = 0,
     """",
     JOIN(CHAR(10), FILTER(SPLIT(E50, CHAR(10)), NOT(REGEXMATCH(SPLIT(E50, CHAR(10)), "" name is too long""))))
   ),
 "&amp;"  """"
)"),"linha 3: Element Scenario too long: actual 21, expected 15
linha 10: Step ""When I fill in ""Query"" with ""nothing to see here"""" should not appear after step using keyword then
linha 13: Step ""When I follow ""Clicks"""" should not appear after step us"&amp;"ing keyword then
linha 16: Step ""Then I should see ""Your site has not received any clicks on search results yet."""" should use And instead of Then
linha 17: Step ""When I follow ""Referrers"""" should not appear after step using keyword then
linha 20: "&amp;"Step ""When I follow ""Monthly Reports"""" should not appear after step using keyword then
linha 22: Step ""When I download the top monthly queries report"" should not appear after step using keyword then
linha 26: Multiple empty lines are not allowed
lin"&amp;"ha 27: Multiple empty lines are not allowed")</f>
        <v>linha 3: Element Scenario too long: actual 21, expected 15
linha 10: Step "When I fill in "Query" with "nothing to see here"" should not appear after step using keyword then
linha 13: Step "When I follow "Clicks"" should not appear after step using keyword then
linha 16: Step "Then I should see "Your site has not received any clicks on search results yet."" should use And instead of Then
linha 17: Step "When I follow "Referrers"" should not appear after step using keyword then
linha 20: Step "When I follow "Monthly Reports"" should not appear after step using keyword then
linha 22: Step "When I download the top monthly queries report" should not appear after step using keyword then
linha 26: Multiple empty lines are not allowed
linha 27: Multiple empty lines are not allowed</v>
      </c>
      <c r="H50" s="20">
        <f>IFERROR(__xludf.DUMMYFUNCTION("IF(G50="""", 0, COUNTA(SPLIT(G50, CHAR(10))))"),9.0)</f>
        <v>9</v>
      </c>
      <c r="I50" s="11" t="s">
        <v>601</v>
      </c>
      <c r="J50" s="20">
        <f>IFERROR(__xludf.DUMMYFUNCTION("IF(I50="""", 0, COUNTA(SPLIT(I50, CHAR(10))))"),9.0)</f>
        <v>9</v>
      </c>
      <c r="K50" s="11" t="str">
        <f>IFERROR(__xludf.DUMMYFUNCTION("IFERROR(
   IF(
     COUNTA(FILTER(SPLIT(I50, CHAR(10)), NOT(REGEXMATCH(SPLIT(I50, CHAR(10)), "" name is too long"")))) = 0,
     """",
     JOIN(CHAR(10), FILTER(SPLIT(I50, CHAR(10)), NOT(REGEXMATCH(SPLIT(I50, CHAR(10)), "" name is too long""))))
   ),
 "&amp;"  """"
)"),"linha 3: Element Scenario too long: actual 21, expected 15
linha 10: Step ""When I fill in ""Query"" with ""nothing to see here"""" should not appear after step using keyword then
linha 13: Step ""When I follow ""Clicks"""" should not appear after step us"&amp;"ing keyword then
linha 16: Step ""Then I should see ""Your site has not received any clicks on search results yet."""" should use And instead of Then
linha 17: Step ""When I follow ""Referrers"""" should not appear after step using keyword then
linha 20: "&amp;"Step ""When I follow ""Monthly Reports"""" should not appear after step using keyword then
linha 22: Step ""When I download the top monthly queries report"" should not appear after step using keyword then")</f>
        <v>linha 3: Element Scenario too long: actual 21, expected 15
linha 10: Step "When I fill in "Query" with "nothing to see here"" should not appear after step using keyword then
linha 13: Step "When I follow "Clicks"" should not appear after step using keyword then
linha 16: Step "Then I should see "Your site has not received any clicks on search results yet."" should use And instead of Then
linha 17: Step "When I follow "Referrers"" should not appear after step using keyword then
linha 20: Step "When I follow "Monthly Reports"" should not appear after step using keyword then
linha 22: Step "When I download the top monthly queries report" should not appear after step using keyword then</v>
      </c>
      <c r="L50" s="20">
        <f>IFERROR(__xludf.DUMMYFUNCTION("IF(K50="""", 0, COUNTA(SPLIT(K50, CHAR(10))))"),7.0)</f>
        <v>7</v>
      </c>
    </row>
    <row r="51">
      <c r="A51" s="18" t="s">
        <v>101</v>
      </c>
      <c r="B51" s="18" t="s">
        <v>97</v>
      </c>
      <c r="C51" s="18" t="s">
        <v>602</v>
      </c>
      <c r="D51" s="19">
        <v>18.0</v>
      </c>
      <c r="E51" s="11" t="s">
        <v>603</v>
      </c>
      <c r="F51" s="20">
        <f>IFERROR(__xludf.DUMMYFUNCTION("IF(E51="""", 0, COUNTA(SPLIT(E51, CHAR(10))))"),5.0)</f>
        <v>5</v>
      </c>
      <c r="G51" s="11" t="str">
        <f>IFERROR(__xludf.DUMMYFUNCTION("IFERROR(
   IF(
     COUNTA(FILTER(SPLIT(E51, CHAR(10)), NOT(REGEXMATCH(SPLIT(E51, CHAR(10)), "" name is too long"")))) = 0,
     """",
     JOIN(CHAR(10), FILTER(SPLIT(E51, CHAR(10)), NOT(REGEXMATCH(SPLIT(E51, CHAR(10)), "" name is too long""))))
   ),
 "&amp;"  """"
)"),"linha 8: Step ""When I attach the file ""features/support/bulk_affiliate_styles_upload.csv"" to ""bulk_upload_affiliate_styles"""" should not appear after step using keyword then
linha 13: Step ""When I do not attach a file to ""bulk_upload_affiliate_styl"&amp;"es"""" should not appear after step using keyword then
linha 18: Multiple empty lines are not allowed
linha 19: Multiple empty lines are not allowed")</f>
        <v>linha 8: Step "When I attach the file "features/support/bulk_affiliate_styles_upload.csv" to "bulk_upload_affiliate_styles"" should not appear after step using keyword then
linha 13: Step "When I do not attach a file to "bulk_upload_affiliate_styles"" should not appear after step using keyword then
linha 18: Multiple empty lines are not allowed
linha 19: Multiple empty lines are not allowed</v>
      </c>
      <c r="H51" s="20">
        <f>IFERROR(__xludf.DUMMYFUNCTION("IF(G51="""", 0, COUNTA(SPLIT(G51, CHAR(10))))"),4.0)</f>
        <v>4</v>
      </c>
      <c r="I51" s="11" t="s">
        <v>604</v>
      </c>
      <c r="J51" s="20">
        <f>IFERROR(__xludf.DUMMYFUNCTION("IF(I51="""", 0, COUNTA(SPLIT(I51, CHAR(10))))"),3.0)</f>
        <v>3</v>
      </c>
      <c r="K51" s="11" t="str">
        <f>IFERROR(__xludf.DUMMYFUNCTION("IFERROR(
   IF(
     COUNTA(FILTER(SPLIT(I51, CHAR(10)), NOT(REGEXMATCH(SPLIT(I51, CHAR(10)), "" name is too long"")))) = 0,
     """",
     JOIN(CHAR(10), FILTER(SPLIT(I51, CHAR(10)), NOT(REGEXMATCH(SPLIT(I51, CHAR(10)), "" name is too long""))))
   ),
 "&amp;"  """"
)"),"linha 8: Step ""When I attach the file ""features/support/bulk_affiliate_styles_upload.csv"" to ""bulk_upload_affiliate_styles"""" should not appear after step using keyword then
linha 13: Step ""When I do not attach a file to ""bulk_upload_affiliate_styl"&amp;"es"""" should not appear after step using keyword then")</f>
        <v>linha 8: Step "When I attach the file "features/support/bulk_affiliate_styles_upload.csv" to "bulk_upload_affiliate_styles"" should not appear after step using keyword then
linha 13: Step "When I do not attach a file to "bulk_upload_affiliate_styles"" should not appear after step using keyword then</v>
      </c>
      <c r="L51" s="20">
        <f>IFERROR(__xludf.DUMMYFUNCTION("IF(K51="""", 0, COUNTA(SPLIT(K51, CHAR(10))))"),2.0)</f>
        <v>2</v>
      </c>
    </row>
    <row r="52">
      <c r="A52" s="18" t="s">
        <v>105</v>
      </c>
      <c r="B52" s="18" t="s">
        <v>97</v>
      </c>
      <c r="C52" s="18" t="s">
        <v>605</v>
      </c>
      <c r="D52" s="19">
        <v>36.0</v>
      </c>
      <c r="E52" s="11" t="s">
        <v>606</v>
      </c>
      <c r="F52" s="20">
        <f>IFERROR(__xludf.DUMMYFUNCTION("IF(E52="""", 0, COUNTA(SPLIT(E52, CHAR(10))))"),12.0)</f>
        <v>12</v>
      </c>
      <c r="G52" s="11" t="str">
        <f>IFERROR(__xludf.DUMMYFUNCTION("IFERROR(
   IF(
     COUNTA(FILTER(SPLIT(E52, CHAR(10)), NOT(REGEXMATCH(SPLIT(E52, CHAR(10)), "" name is too long"")))) = 0,
     """",
     JOIN(CHAR(10), FILTER(SPLIT(E52, CHAR(10)), NOT(REGEXMATCH(SPLIT(E52, CHAR(10)), "" name is too long""))))
   ),
 "&amp;"  """"
)"),"linha 3: Element Scenario too long: actual 24, expected 15
linha 5: Step ""Given I am logged in with email ""affiliate_admin@fixtures.org"""" should use And instead of Given
linha 9: Step ""When I fill in ""affiliate_name"" with ""agency site"""" should n"&amp;"ot appear after step using keyword then
linha 13: Step ""When I fill in ""affiliate_name"" with ""usagov"""" should not appear after step using keyword then
linha 18: Step ""Given there are 5 rss indexed documents for affiliate ""usagov"""" should not app"&amp;"ear after step using keyword then
linha 19: Step ""When I follow ""Search for a different affiliate"""" should not appear after step using keyword then
linha 25: Step ""When I submit the form by pressing ""Update Affiliate usagov"""" should not appear aft"&amp;"er step using keyword then
linha 29: Multiple empty lines are not allowed
linha 30: Multiple empty lines are not allowed")</f>
        <v>linha 3: Element Scenario too long: actual 24, expected 15
linha 5: Step "Given I am logged in with email "affiliate_admin@fixtures.org"" should use And instead of Given
linha 9: Step "When I fill in "affiliate_name" with "agency site"" should not appear after step using keyword then
linha 13: Step "When I fill in "affiliate_name" with "usagov"" should not appear after step using keyword then
linha 18: Step "Given there are 5 rss indexed documents for affiliate "usagov"" should not appear after step using keyword then
linha 19: Step "When I follow "Search for a different affiliate"" should not appear after step using keyword then
linha 25: Step "When I submit the form by pressing "Update Affiliate usagov"" should not appear after step using keyword then
linha 29: Multiple empty lines are not allowed
linha 30: Multiple empty lines are not allowed</v>
      </c>
      <c r="H52" s="20">
        <f>IFERROR(__xludf.DUMMYFUNCTION("IF(G52="""", 0, COUNTA(SPLIT(G52, CHAR(10))))"),9.0)</f>
        <v>9</v>
      </c>
      <c r="I52" s="11" t="s">
        <v>607</v>
      </c>
      <c r="J52" s="20">
        <f>IFERROR(__xludf.DUMMYFUNCTION("IF(I52="""", 0, COUNTA(SPLIT(I52, CHAR(10))))"),10.0)</f>
        <v>10</v>
      </c>
      <c r="K52" s="11" t="str">
        <f>IFERROR(__xludf.DUMMYFUNCTION("IFERROR(
   IF(
     COUNTA(FILTER(SPLIT(I52, CHAR(10)), NOT(REGEXMATCH(SPLIT(I52, CHAR(10)), "" name is too long"")))) = 0,
     """",
     JOIN(CHAR(10), FILTER(SPLIT(I52, CHAR(10)), NOT(REGEXMATCH(SPLIT(I52, CHAR(10)), "" name is too long""))))
   ),
 "&amp;"  """"
)"),"linha 3: Element Scenario too long: actual 24, expected 15
linha 5: Step ""Given I am logged in with email ""affiliate_admin@fixtures.org"""" should use And instead of Given
linha 9: Step ""When I fill in ""affiliate_name"" with ""agency site"""" should n"&amp;"ot appear after step using keyword then
linha 13: Step ""When I fill in ""affiliate_name"" with ""usagov"""" should not appear after step using keyword then
linha 18: Step ""Given there are 5 rss indexed documents for affiliate ""usagov"""" should not app"&amp;"ear after step using keyword then
linha 19: Step ""When I follow ""Search for a different affiliate"""" should not appear after step using keyword then
linha 25: Step ""When I submit the form by pressing ""Update Affiliate usagov"""" should not appear aft"&amp;"er step using keyword then")</f>
        <v>linha 3: Element Scenario too long: actual 24, expected 15
linha 5: Step "Given I am logged in with email "affiliate_admin@fixtures.org"" should use And instead of Given
linha 9: Step "When I fill in "affiliate_name" with "agency site"" should not appear after step using keyword then
linha 13: Step "When I fill in "affiliate_name" with "usagov"" should not appear after step using keyword then
linha 18: Step "Given there are 5 rss indexed documents for affiliate "usagov"" should not appear after step using keyword then
linha 19: Step "When I follow "Search for a different affiliate"" should not appear after step using keyword then
linha 25: Step "When I submit the form by pressing "Update Affiliate usagov"" should not appear after step using keyword then</v>
      </c>
      <c r="L52" s="20">
        <f>IFERROR(__xludf.DUMMYFUNCTION("IF(K52="""", 0, COUNTA(SPLIT(K52, CHAR(10))))"),7.0)</f>
        <v>7</v>
      </c>
    </row>
    <row r="53">
      <c r="A53" s="18" t="s">
        <v>109</v>
      </c>
      <c r="B53" s="18" t="s">
        <v>97</v>
      </c>
      <c r="C53" s="18" t="s">
        <v>608</v>
      </c>
      <c r="D53" s="19">
        <v>5.0</v>
      </c>
      <c r="E53" s="11" t="s">
        <v>609</v>
      </c>
      <c r="F53" s="20">
        <f>IFERROR(__xludf.DUMMYFUNCTION("IF(E53="""", 0, COUNTA(SPLIT(E53, CHAR(10))))"),2.0)</f>
        <v>2</v>
      </c>
      <c r="G53" s="11" t="str">
        <f>IFERROR(__xludf.DUMMYFUNCTION("IFERROR(
   IF(
     COUNTA(FILTER(SPLIT(E53, CHAR(10)), NOT(REGEXMATCH(SPLIT(E53, CHAR(10)), "" name is too long"")))) = 0,
     """",
     JOIN(CHAR(10), FILTER(SPLIT(E53, CHAR(10)), NOT(REGEXMATCH(SPLIT(E53, CHAR(10)), "" name is too long""))))
   ),
 "&amp;"  """"
)"),"linha 9: Multiple empty lines are not allowed
linha 10: Multiple empty lines are not allowed")</f>
        <v>linha 9: Multiple empty lines are not allowed
linha 10: Multiple empty lines are not allowed</v>
      </c>
      <c r="H53" s="20">
        <f>IFERROR(__xludf.DUMMYFUNCTION("IF(G53="""", 0, COUNTA(SPLIT(G53, CHAR(10))))"),2.0)</f>
        <v>2</v>
      </c>
      <c r="J53" s="20">
        <f>IFERROR(__xludf.DUMMYFUNCTION("IF(I53="""", 0, COUNTA(SPLIT(I53, CHAR(10))))"),0.0)</f>
        <v>0</v>
      </c>
      <c r="K53" s="11" t="str">
        <f>IFERROR(__xludf.DUMMYFUNCTION("IFERROR(
   IF(
     COUNTA(FILTER(SPLIT(I53, CHAR(10)), NOT(REGEXMATCH(SPLIT(I53, CHAR(10)), "" name is too long"")))) = 0,
     """",
     JOIN(CHAR(10), FILTER(SPLIT(I53, CHAR(10)), NOT(REGEXMATCH(SPLIT(I53, CHAR(10)), "" name is too long""))))
   ),
 "&amp;"  """"
)"),"")</f>
        <v/>
      </c>
      <c r="L53" s="20">
        <f>IFERROR(__xludf.DUMMYFUNCTION("IF(K53="""", 0, COUNTA(SPLIT(K53, CHAR(10))))"),0.0)</f>
        <v>0</v>
      </c>
    </row>
    <row r="54">
      <c r="A54" s="18" t="s">
        <v>300</v>
      </c>
      <c r="B54" s="18" t="s">
        <v>301</v>
      </c>
      <c r="C54" s="18" t="s">
        <v>610</v>
      </c>
      <c r="D54" s="19">
        <v>9.0</v>
      </c>
      <c r="E54" s="11" t="s">
        <v>611</v>
      </c>
      <c r="F54" s="20">
        <f>IFERROR(__xludf.DUMMYFUNCTION("IF(E54="""", 0, COUNTA(SPLIT(E54, CHAR(10))))"),5.0)</f>
        <v>5</v>
      </c>
      <c r="G54" s="11" t="str">
        <f>IFERROR(__xludf.DUMMYFUNCTION("IFERROR(
   IF(
     COUNTA(FILTER(SPLIT(E54, CHAR(10)), NOT(REGEXMATCH(SPLIT(E54, CHAR(10)), "" name is too long"")))) = 0,
     """",
     JOIN(CHAR(10), FILTER(SPLIT(E54, CHAR(10)), NOT(REGEXMATCH(SPLIT(E54, CHAR(10)), "" name is too long""))))
   ),
 "&amp;"  """"
)"),"linha 8: Multiple empty lines are not allowed
linha 9: Multiple empty lines are not allowed
linha 15: Multiple empty lines are not allowed
linha 16: Multiple empty lines are not allowed")</f>
        <v>linha 8: Multiple empty lines are not allowed
linha 9: Multiple empty lines are not allowed
linha 15: Multiple empty lines are not allowed
linha 16: Multiple empty lines are not allowed</v>
      </c>
      <c r="H54" s="20">
        <f>IFERROR(__xludf.DUMMYFUNCTION("IF(G54="""", 0, COUNTA(SPLIT(G54, CHAR(10))))"),4.0)</f>
        <v>4</v>
      </c>
      <c r="I54" s="11" t="s">
        <v>612</v>
      </c>
      <c r="J54" s="20">
        <f>IFERROR(__xludf.DUMMYFUNCTION("IF(I54="""", 0, COUNTA(SPLIT(I54, CHAR(10))))"),1.0)</f>
        <v>1</v>
      </c>
      <c r="K54" s="11" t="str">
        <f>IFERROR(__xludf.DUMMYFUNCTION("IFERROR(
   IF(
     COUNTA(FILTER(SPLIT(I54, CHAR(10)), NOT(REGEXMATCH(SPLIT(I54, CHAR(10)), "" name is too long"")))) = 0,
     """",
     JOIN(CHAR(10), FILTER(SPLIT(I54, CHAR(10)), NOT(REGEXMATCH(SPLIT(I54, CHAR(10)), "" name is too long""))))
   ),
 "&amp;"  """"
)"),"")</f>
        <v/>
      </c>
      <c r="L54" s="20">
        <f>IFERROR(__xludf.DUMMYFUNCTION("IF(K54="""", 0, COUNTA(SPLIT(K54, CHAR(10))))"),0.0)</f>
        <v>0</v>
      </c>
    </row>
    <row r="55">
      <c r="A55" s="18" t="s">
        <v>305</v>
      </c>
      <c r="B55" s="18" t="s">
        <v>301</v>
      </c>
      <c r="C55" s="18" t="s">
        <v>613</v>
      </c>
      <c r="D55" s="19">
        <v>14.0</v>
      </c>
      <c r="E55" s="11" t="s">
        <v>614</v>
      </c>
      <c r="F55" s="20">
        <f>IFERROR(__xludf.DUMMYFUNCTION("IF(E55="""", 0, COUNTA(SPLIT(E55, CHAR(10))))"),4.0)</f>
        <v>4</v>
      </c>
      <c r="G55" s="11" t="str">
        <f>IFERROR(__xludf.DUMMYFUNCTION("IFERROR(
   IF(
     COUNTA(FILTER(SPLIT(E55, CHAR(10)), NOT(REGEXMATCH(SPLIT(E55, CHAR(10)), "" name is too long"")))) = 0,
     """",
     JOIN(CHAR(10), FILTER(SPLIT(E55, CHAR(10)), NOT(REGEXMATCH(SPLIT(E55, CHAR(10)), "" name is too long""))))
   ),
 "&amp;"  """"
)"),"linha 11: Multiple empty lines are not allowed
linha 12: Multiple empty lines are not allowed
linha 21: Multiple empty lines are not allowed
linha 22: Multiple empty lines are not allowed")</f>
        <v>linha 11: Multiple empty lines are not allowed
linha 12: Multiple empty lines are not allowed
linha 21: Multiple empty lines are not allowed
linha 22: Multiple empty lines are not allowed</v>
      </c>
      <c r="H55" s="20">
        <f>IFERROR(__xludf.DUMMYFUNCTION("IF(G55="""", 0, COUNTA(SPLIT(G55, CHAR(10))))"),4.0)</f>
        <v>4</v>
      </c>
      <c r="J55" s="20">
        <f>IFERROR(__xludf.DUMMYFUNCTION("IF(I55="""", 0, COUNTA(SPLIT(I55, CHAR(10))))"),0.0)</f>
        <v>0</v>
      </c>
      <c r="K55" s="11" t="str">
        <f>IFERROR(__xludf.DUMMYFUNCTION("IFERROR(
   IF(
     COUNTA(FILTER(SPLIT(I55, CHAR(10)), NOT(REGEXMATCH(SPLIT(I55, CHAR(10)), "" name is too long"")))) = 0,
     """",
     JOIN(CHAR(10), FILTER(SPLIT(I55, CHAR(10)), NOT(REGEXMATCH(SPLIT(I55, CHAR(10)), "" name is too long""))))
   ),
 "&amp;"  """"
)"),"")</f>
        <v/>
      </c>
      <c r="L55" s="20">
        <f>IFERROR(__xludf.DUMMYFUNCTION("IF(K55="""", 0, COUNTA(SPLIT(K55, CHAR(10))))"),0.0)</f>
        <v>0</v>
      </c>
    </row>
    <row r="56">
      <c r="A56" s="18" t="s">
        <v>309</v>
      </c>
      <c r="B56" s="18" t="s">
        <v>301</v>
      </c>
      <c r="C56" s="18" t="s">
        <v>615</v>
      </c>
      <c r="D56" s="19">
        <v>34.0</v>
      </c>
      <c r="E56" s="11" t="s">
        <v>616</v>
      </c>
      <c r="F56" s="20">
        <f>IFERROR(__xludf.DUMMYFUNCTION("IF(E56="""", 0, COUNTA(SPLIT(E56, CHAR(10))))"),20.0)</f>
        <v>20</v>
      </c>
      <c r="G56" s="11" t="str">
        <f>IFERROR(__xludf.DUMMYFUNCTION("IFERROR(
   IF(
     COUNTA(FILTER(SPLIT(E56, CHAR(10)), NOT(REGEXMATCH(SPLIT(E56, CHAR(10)), "" name is too long"")))) = 0,
     """",
     JOIN(CHAR(10), FILTER(SPLIT(E56, CHAR(10)), NOT(REGEXMATCH(SPLIT(E56, CHAR(10)), "" name is too long""))))
   ),
 "&amp;"  """"
)"),"linha 8: Multiple empty lines are not allowed
linha 9: Multiple empty lines are not allowed
linha 17: Multiple empty lines are not allowed
linha 18: Multiple empty lines are not allowed
linha 26: Multiple empty lines are not allowed
linha 27: Multiple emp"&amp;"ty lines are not allowed
linha 35: Multiple empty lines are not allowed
linha 36: Multiple empty lines are not allowed")</f>
        <v>linha 8: Multiple empty lines are not allowed
linha 9: Multiple empty lines are not allowed
linha 17: Multiple empty lines are not allowed
linha 18: Multiple empty lines are not allowed
linha 26: Multiple empty lines are not allowed
linha 27: Multiple empty lines are not allowed
linha 35: Multiple empty lines are not allowed
linha 36: Multiple empty lines are not allowed</v>
      </c>
      <c r="H56" s="20">
        <f>IFERROR(__xludf.DUMMYFUNCTION("IF(G56="""", 0, COUNTA(SPLIT(G56, CHAR(10))))"),8.0)</f>
        <v>8</v>
      </c>
      <c r="I56" s="11" t="s">
        <v>617</v>
      </c>
      <c r="J56" s="20">
        <f>IFERROR(__xludf.DUMMYFUNCTION("IF(I56="""", 0, COUNTA(SPLIT(I56, CHAR(10))))"),12.0)</f>
        <v>12</v>
      </c>
      <c r="K56" s="11" t="str">
        <f>IFERROR(__xludf.DUMMYFUNCTION("IFERROR(
   IF(
     COUNTA(FILTER(SPLIT(I56, CHAR(10)), NOT(REGEXMATCH(SPLIT(I56, CHAR(10)), "" name is too long"")))) = 0,
     """",
     JOIN(CHAR(10), FILTER(SPLIT(I56, CHAR(10)), NOT(REGEXMATCH(SPLIT(I56, CHAR(10)), "" name is too long""))))
   ),
 "&amp;"  """"
)"),"")</f>
        <v/>
      </c>
      <c r="L56" s="20">
        <f>IFERROR(__xludf.DUMMYFUNCTION("IF(K56="""", 0, COUNTA(SPLIT(K56, CHAR(10))))"),0.0)</f>
        <v>0</v>
      </c>
    </row>
    <row r="57">
      <c r="A57" s="18" t="s">
        <v>313</v>
      </c>
      <c r="B57" s="18" t="s">
        <v>301</v>
      </c>
      <c r="C57" s="18" t="s">
        <v>618</v>
      </c>
      <c r="D57" s="19">
        <v>19.0</v>
      </c>
      <c r="E57" s="11" t="s">
        <v>619</v>
      </c>
      <c r="F57" s="20">
        <f>IFERROR(__xludf.DUMMYFUNCTION("IF(E57="""", 0, COUNTA(SPLIT(E57, CHAR(10))))"),9.0)</f>
        <v>9</v>
      </c>
      <c r="G57" s="11" t="str">
        <f>IFERROR(__xludf.DUMMYFUNCTION("IFERROR(
   IF(
     COUNTA(FILTER(SPLIT(E57, CHAR(10)), NOT(REGEXMATCH(SPLIT(E57, CHAR(10)), "" name is too long"")))) = 0,
     """",
     JOIN(CHAR(10), FILTER(SPLIT(E57, CHAR(10)), NOT(REGEXMATCH(SPLIT(E57, CHAR(10)), "" name is too long""))))
   ),
 "&amp;"  """"
)"),"linha 10: Multiple empty lines are not allowed
linha 11: Multiple empty lines are not allowed
linha 18: Multiple empty lines are not allowed
linha 19: Multiple empty lines are not allowed
linha 26: Multiple empty lines are not allowed
linha 27: Multiple e"&amp;"mpty lines are not allowed")</f>
        <v>linha 10: Multiple empty lines are not allowed
linha 11: Multiple empty lines are not allowed
linha 18: Multiple empty lines are not allowed
linha 19: Multiple empty lines are not allowed
linha 26: Multiple empty lines are not allowed
linha 27: Multiple empty lines are not allowed</v>
      </c>
      <c r="H57" s="20">
        <f>IFERROR(__xludf.DUMMYFUNCTION("IF(G57="""", 0, COUNTA(SPLIT(G57, CHAR(10))))"),6.0)</f>
        <v>6</v>
      </c>
      <c r="I57" s="11" t="s">
        <v>620</v>
      </c>
      <c r="J57" s="20">
        <f>IFERROR(__xludf.DUMMYFUNCTION("IF(I57="""", 0, COUNTA(SPLIT(I57, CHAR(10))))"),3.0)</f>
        <v>3</v>
      </c>
      <c r="K57" s="11" t="str">
        <f>IFERROR(__xludf.DUMMYFUNCTION("IFERROR(
   IF(
     COUNTA(FILTER(SPLIT(I57, CHAR(10)), NOT(REGEXMATCH(SPLIT(I57, CHAR(10)), "" name is too long"")))) = 0,
     """",
     JOIN(CHAR(10), FILTER(SPLIT(I57, CHAR(10)), NOT(REGEXMATCH(SPLIT(I57, CHAR(10)), "" name is too long""))))
   ),
 "&amp;"  """"
)"),"")</f>
        <v/>
      </c>
      <c r="L57" s="20">
        <f>IFERROR(__xludf.DUMMYFUNCTION("IF(K57="""", 0, COUNTA(SPLIT(K57, CHAR(10))))"),0.0)</f>
        <v>0</v>
      </c>
    </row>
    <row r="58">
      <c r="A58" s="18" t="s">
        <v>317</v>
      </c>
      <c r="B58" s="18" t="s">
        <v>318</v>
      </c>
      <c r="C58" s="18" t="s">
        <v>621</v>
      </c>
      <c r="D58" s="19">
        <v>20.0</v>
      </c>
      <c r="E58" s="11" t="s">
        <v>622</v>
      </c>
      <c r="F58" s="20">
        <f>IFERROR(__xludf.DUMMYFUNCTION("IF(E58="""", 0, COUNTA(SPLIT(E58, CHAR(10))))"),6.0)</f>
        <v>6</v>
      </c>
      <c r="G58" s="11" t="str">
        <f>IFERROR(__xludf.DUMMYFUNCTION("IFERROR(
   IF(
     COUNTA(FILTER(SPLIT(E58, CHAR(10)), NOT(REGEXMATCH(SPLIT(E58, CHAR(10)), "" name is too long"")))) = 0,
     """",
     JOIN(CHAR(10), FILTER(SPLIT(E58, CHAR(10)), NOT(REGEXMATCH(SPLIT(E58, CHAR(10)), "" name is too long""))))
   ),
 "&amp;"  """"
)"),"linha 13: Multiple empty lines are not allowed
linha 14: Multiple empty lines are not allowed
linha 24: Multiple empty lines are not allowed
linha 25: Multiple empty lines are not allowed")</f>
        <v>linha 13: Multiple empty lines are not allowed
linha 14: Multiple empty lines are not allowed
linha 24: Multiple empty lines are not allowed
linha 25: Multiple empty lines are not allowed</v>
      </c>
      <c r="H58" s="20">
        <f>IFERROR(__xludf.DUMMYFUNCTION("IF(G58="""", 0, COUNTA(SPLIT(G58, CHAR(10))))"),4.0)</f>
        <v>4</v>
      </c>
      <c r="I58" s="11" t="s">
        <v>623</v>
      </c>
      <c r="J58" s="20">
        <f>IFERROR(__xludf.DUMMYFUNCTION("IF(I58="""", 0, COUNTA(SPLIT(I58, CHAR(10))))"),2.0)</f>
        <v>2</v>
      </c>
      <c r="K58" s="11" t="str">
        <f>IFERROR(__xludf.DUMMYFUNCTION("IFERROR(
   IF(
     COUNTA(FILTER(SPLIT(I58, CHAR(10)), NOT(REGEXMATCH(SPLIT(I58, CHAR(10)), "" name is too long"")))) = 0,
     """",
     JOIN(CHAR(10), FILTER(SPLIT(I58, CHAR(10)), NOT(REGEXMATCH(SPLIT(I58, CHAR(10)), "" name is too long""))))
   ),
 "&amp;"  """"
)"),"")</f>
        <v/>
      </c>
      <c r="L58" s="20">
        <f>IFERROR(__xludf.DUMMYFUNCTION("IF(K58="""", 0, COUNTA(SPLIT(K58, CHAR(10))))"),0.0)</f>
        <v>0</v>
      </c>
    </row>
    <row r="59">
      <c r="A59" s="18" t="s">
        <v>322</v>
      </c>
      <c r="B59" s="18" t="s">
        <v>318</v>
      </c>
      <c r="C59" s="18" t="s">
        <v>624</v>
      </c>
      <c r="D59" s="19">
        <v>21.0</v>
      </c>
      <c r="E59" s="11" t="s">
        <v>625</v>
      </c>
      <c r="F59" s="20">
        <f>IFERROR(__xludf.DUMMYFUNCTION("IF(E59="""", 0, COUNTA(SPLIT(E59, CHAR(10))))"),6.0)</f>
        <v>6</v>
      </c>
      <c r="G59" s="11" t="str">
        <f>IFERROR(__xludf.DUMMYFUNCTION("IFERROR(
   IF(
     COUNTA(FILTER(SPLIT(E59, CHAR(10)), NOT(REGEXMATCH(SPLIT(E59, CHAR(10)), "" name is too long"")))) = 0,
     """",
     JOIN(CHAR(10), FILTER(SPLIT(E59, CHAR(10)), NOT(REGEXMATCH(SPLIT(E59, CHAR(10)), "" name is too long""))))
   ),
 "&amp;"  """"
)"),"linha 14: Multiple empty lines are not allowed
linha 15: Multiple empty lines are not allowed
linha 25: Multiple empty lines are not allowed
linha 26: Multiple empty lines are not allowed")</f>
        <v>linha 14: Multiple empty lines are not allowed
linha 15: Multiple empty lines are not allowed
linha 25: Multiple empty lines are not allowed
linha 26: Multiple empty lines are not allowed</v>
      </c>
      <c r="H59" s="20">
        <f>IFERROR(__xludf.DUMMYFUNCTION("IF(G59="""", 0, COUNTA(SPLIT(G59, CHAR(10))))"),4.0)</f>
        <v>4</v>
      </c>
      <c r="I59" s="11" t="s">
        <v>626</v>
      </c>
      <c r="J59" s="20">
        <f>IFERROR(__xludf.DUMMYFUNCTION("IF(I59="""", 0, COUNTA(SPLIT(I59, CHAR(10))))"),2.0)</f>
        <v>2</v>
      </c>
      <c r="K59" s="11" t="str">
        <f>IFERROR(__xludf.DUMMYFUNCTION("IFERROR(
   IF(
     COUNTA(FILTER(SPLIT(I59, CHAR(10)), NOT(REGEXMATCH(SPLIT(I59, CHAR(10)), "" name is too long"")))) = 0,
     """",
     JOIN(CHAR(10), FILTER(SPLIT(I59, CHAR(10)), NOT(REGEXMATCH(SPLIT(I59, CHAR(10)), "" name is too long""))))
   ),
 "&amp;"  """"
)"),"")</f>
        <v/>
      </c>
      <c r="L59" s="20">
        <f>IFERROR(__xludf.DUMMYFUNCTION("IF(K59="""", 0, COUNTA(SPLIT(K59, CHAR(10))))"),0.0)</f>
        <v>0</v>
      </c>
    </row>
    <row r="60">
      <c r="A60" s="18" t="s">
        <v>326</v>
      </c>
      <c r="B60" s="18" t="s">
        <v>318</v>
      </c>
      <c r="C60" s="18" t="s">
        <v>627</v>
      </c>
      <c r="D60" s="19">
        <v>7.0</v>
      </c>
      <c r="E60" s="11" t="s">
        <v>628</v>
      </c>
      <c r="F60" s="20">
        <f>IFERROR(__xludf.DUMMYFUNCTION("IF(E60="""", 0, COUNTA(SPLIT(E60, CHAR(10))))"),2.0)</f>
        <v>2</v>
      </c>
      <c r="G60" s="11" t="str">
        <f>IFERROR(__xludf.DUMMYFUNCTION("IFERROR(
   IF(
     COUNTA(FILTER(SPLIT(E60, CHAR(10)), NOT(REGEXMATCH(SPLIT(E60, CHAR(10)), "" name is too long"")))) = 0,
     """",
     JOIN(CHAR(10), FILTER(SPLIT(E60, CHAR(10)), NOT(REGEXMATCH(SPLIT(E60, CHAR(10)), "" name is too long""))))
   ),
 "&amp;"  """"
)"),"linha 11: Multiple empty lines are not allowed
linha 12: Multiple empty lines are not allowed")</f>
        <v>linha 11: Multiple empty lines are not allowed
linha 12: Multiple empty lines are not allowed</v>
      </c>
      <c r="H60" s="20">
        <f>IFERROR(__xludf.DUMMYFUNCTION("IF(G60="""", 0, COUNTA(SPLIT(G60, CHAR(10))))"),2.0)</f>
        <v>2</v>
      </c>
      <c r="J60" s="20">
        <f>IFERROR(__xludf.DUMMYFUNCTION("IF(I60="""", 0, COUNTA(SPLIT(I60, CHAR(10))))"),0.0)</f>
        <v>0</v>
      </c>
      <c r="K60" s="11" t="str">
        <f>IFERROR(__xludf.DUMMYFUNCTION("IFERROR(
   IF(
     COUNTA(FILTER(SPLIT(I60, CHAR(10)), NOT(REGEXMATCH(SPLIT(I60, CHAR(10)), "" name is too long"")))) = 0,
     """",
     JOIN(CHAR(10), FILTER(SPLIT(I60, CHAR(10)), NOT(REGEXMATCH(SPLIT(I60, CHAR(10)), "" name is too long""))))
   ),
 "&amp;"  """"
)"),"")</f>
        <v/>
      </c>
      <c r="L60" s="20">
        <f>IFERROR(__xludf.DUMMYFUNCTION("IF(K60="""", 0, COUNTA(SPLIT(K60, CHAR(10))))"),0.0)</f>
        <v>0</v>
      </c>
    </row>
    <row r="61">
      <c r="A61" s="18" t="s">
        <v>330</v>
      </c>
      <c r="B61" s="18" t="s">
        <v>318</v>
      </c>
      <c r="C61" s="18" t="s">
        <v>627</v>
      </c>
      <c r="D61" s="19">
        <v>7.0</v>
      </c>
      <c r="E61" s="11" t="s">
        <v>628</v>
      </c>
      <c r="F61" s="20">
        <f>IFERROR(__xludf.DUMMYFUNCTION("IF(E61="""", 0, COUNTA(SPLIT(E61, CHAR(10))))"),2.0)</f>
        <v>2</v>
      </c>
      <c r="G61" s="11" t="str">
        <f>IFERROR(__xludf.DUMMYFUNCTION("IFERROR(
   IF(
     COUNTA(FILTER(SPLIT(E61, CHAR(10)), NOT(REGEXMATCH(SPLIT(E61, CHAR(10)), "" name is too long"")))) = 0,
     """",
     JOIN(CHAR(10), FILTER(SPLIT(E61, CHAR(10)), NOT(REGEXMATCH(SPLIT(E61, CHAR(10)), "" name is too long""))))
   ),
 "&amp;"  """"
)"),"linha 11: Multiple empty lines are not allowed
linha 12: Multiple empty lines are not allowed")</f>
        <v>linha 11: Multiple empty lines are not allowed
linha 12: Multiple empty lines are not allowed</v>
      </c>
      <c r="H61" s="20">
        <f>IFERROR(__xludf.DUMMYFUNCTION("IF(G61="""", 0, COUNTA(SPLIT(G61, CHAR(10))))"),2.0)</f>
        <v>2</v>
      </c>
      <c r="J61" s="20">
        <f>IFERROR(__xludf.DUMMYFUNCTION("IF(I61="""", 0, COUNTA(SPLIT(I61, CHAR(10))))"),0.0)</f>
        <v>0</v>
      </c>
      <c r="K61" s="11" t="str">
        <f>IFERROR(__xludf.DUMMYFUNCTION("IFERROR(
   IF(
     COUNTA(FILTER(SPLIT(I61, CHAR(10)), NOT(REGEXMATCH(SPLIT(I61, CHAR(10)), "" name is too long"")))) = 0,
     """",
     JOIN(CHAR(10), FILTER(SPLIT(I61, CHAR(10)), NOT(REGEXMATCH(SPLIT(I61, CHAR(10)), "" name is too long""))))
   ),
 "&amp;"  """"
)"),"")</f>
        <v/>
      </c>
      <c r="L61" s="20">
        <f>IFERROR(__xludf.DUMMYFUNCTION("IF(K61="""", 0, COUNTA(SPLIT(K61, CHAR(10))))"),0.0)</f>
        <v>0</v>
      </c>
    </row>
    <row r="62">
      <c r="A62" s="18" t="s">
        <v>113</v>
      </c>
      <c r="B62" s="18" t="s">
        <v>114</v>
      </c>
      <c r="C62" s="18" t="s">
        <v>629</v>
      </c>
      <c r="D62" s="19">
        <v>69.0</v>
      </c>
      <c r="E62" s="11" t="s">
        <v>630</v>
      </c>
      <c r="F62" s="20">
        <f>IFERROR(__xludf.DUMMYFUNCTION("IF(E62="""", 0, COUNTA(SPLIT(E62, CHAR(10))))"),20.0)</f>
        <v>20</v>
      </c>
      <c r="G62" s="11" t="str">
        <f>IFERROR(__xludf.DUMMYFUNCTION("IFERROR(
   IF(
     COUNTA(FILTER(SPLIT(E62, CHAR(10)), NOT(REGEXMATCH(SPLIT(E62, CHAR(10)), "" name is too long"")))) = 0,
     """",
     JOIN(CHAR(10), FILTER(SPLIT(E62, CHAR(10)), NOT(REGEXMATCH(SPLIT(E62, CHAR(10)), "" name is too long""))))
   ),
 "&amp;"  """"
)"),"linha 3: Element Scenario too long: actual 49, expected 15
linha 6: Step ""Given I open hyperlink ""e1cib/list/Catalog.TaxRates"""" should not appear after step using keyword when
linha 31: Step ""Then the form attribute named ""Description_en"" became eq"&amp;"ual to ""Without VAT"""" should use And instead of Then
linha 44: Step ""Then the form attribute named ""Description_en"" became equal to ""0%"""" should use And instead of Then
linha 48: Step ""Then I check for the ""TaxRates"" catalog element with the "&amp;"""Description_en"" ""8%"""" should use And instead of Then
linha 49: Step ""Then I check for the ""TaxRates"" catalog element with the ""Description_tr"" ""8% TR"""" should use And instead of Then
linha 50: Step ""Then I check for the ""TaxRates"" catalog"&amp;" element with the ""Description_ru"" ""8% RU"""" should use And instead of Then
linha 51: Step ""Then I check for the ""TaxRates"" catalog element with the ""Description_en"" ""Without VAT"""" should use And instead of Then
linha 52: Step ""Then I check f"&amp;"or the ""TaxRates"" catalog element with the ""Description_en"" ""0%"""" should use And instead of Then
linha 54: Multiple empty lines are not allowed
linha 55: Multiple empty lines are not allowed")</f>
        <v>linha 3: Element Scenario too long: actual 49, expected 15
linha 6: Step "Given I open hyperlink "e1cib/list/Catalog.TaxRates"" should not appear after step using keyword when
linha 31: Step "Then the form attribute named "Description_en" became equal to "Without VAT"" should use And instead of Then
linha 44: Step "Then the form attribute named "Description_en" became equal to "0%"" should use And instead of Then
linha 48: Step "Then I check for the "TaxRates" catalog element with the "Description_en" "8%"" should use And instead of Then
linha 49: Step "Then I check for the "TaxRates" catalog element with the "Description_tr" "8% TR"" should use And instead of Then
linha 50: Step "Then I check for the "TaxRates" catalog element with the "Description_ru" "8% RU"" should use And instead of Then
linha 51: Step "Then I check for the "TaxRates" catalog element with the "Description_en" "Without VAT"" should use And instead of Then
linha 52: Step "Then I check for the "TaxRates" catalog element with the "Description_en" "0%"" should use And instead of Then
linha 54: Multiple empty lines are not allowed
linha 55: Multiple empty lines are not allowed</v>
      </c>
      <c r="H62" s="20">
        <f>IFERROR(__xludf.DUMMYFUNCTION("IF(G62="""", 0, COUNTA(SPLIT(G62, CHAR(10))))"),11.0)</f>
        <v>11</v>
      </c>
      <c r="I62" s="11" t="s">
        <v>631</v>
      </c>
      <c r="J62" s="20">
        <f>IFERROR(__xludf.DUMMYFUNCTION("IF(I62="""", 0, COUNTA(SPLIT(I62, CHAR(10))))"),18.0)</f>
        <v>18</v>
      </c>
      <c r="K62" s="11" t="str">
        <f>IFERROR(__xludf.DUMMYFUNCTION("IFERROR(
   IF(
     COUNTA(FILTER(SPLIT(I62, CHAR(10)), NOT(REGEXMATCH(SPLIT(I62, CHAR(10)), "" name is too long"")))) = 0,
     """",
     JOIN(CHAR(10), FILTER(SPLIT(I62, CHAR(10)), NOT(REGEXMATCH(SPLIT(I62, CHAR(10)), "" name is too long""))))
   ),
 "&amp;"  """"
)"),"linha 3: Element Scenario too long: actual 49, expected 15
linha 6: Step ""Given I open hyperlink ""e1cib/list/Catalog.TaxRates"""" should not appear after step using keyword when
linha 31: Step ""Then the form attribute named ""Description_en"" became eq"&amp;"ual to ""Without VAT"""" should use And instead of Then
linha 44: Step ""Then the form attribute named ""Description_en"" became equal to ""0%"""" should use And instead of Then
linha 48: Step ""Then I check for the ""TaxRates"" catalog element with the "&amp;"""Description_en"" ""8%"""" should use And instead of Then
linha 49: Step ""Then I check for the ""TaxRates"" catalog element with the ""Description_tr"" ""8% TR"""" should use And instead of Then
linha 50: Step ""Then I check for the ""TaxRates"" catalog"&amp;" element with the ""Description_ru"" ""8% RU"""" should use And instead of Then
linha 51: Step ""Then I check for the ""TaxRates"" catalog element with the ""Description_en"" ""Without VAT"""" should use And instead of Then
linha 52: Step ""Then I check f"&amp;"or the ""TaxRates"" catalog element with the ""Description_en"" ""0%"""" should use And instead of Then")</f>
        <v>linha 3: Element Scenario too long: actual 49, expected 15
linha 6: Step "Given I open hyperlink "e1cib/list/Catalog.TaxRates"" should not appear after step using keyword when
linha 31: Step "Then the form attribute named "Description_en" became equal to "Without VAT"" should use And instead of Then
linha 44: Step "Then the form attribute named "Description_en" became equal to "0%"" should use And instead of Then
linha 48: Step "Then I check for the "TaxRates" catalog element with the "Description_en" "8%"" should use And instead of Then
linha 49: Step "Then I check for the "TaxRates" catalog element with the "Description_tr" "8% TR"" should use And instead of Then
linha 50: Step "Then I check for the "TaxRates" catalog element with the "Description_ru" "8% RU"" should use And instead of Then
linha 51: Step "Then I check for the "TaxRates" catalog element with the "Description_en" "Without VAT"" should use And instead of Then
linha 52: Step "Then I check for the "TaxRates" catalog element with the "Description_en" "0%"" should use And instead of Then</v>
      </c>
      <c r="L62" s="20">
        <f>IFERROR(__xludf.DUMMYFUNCTION("IF(K62="""", 0, COUNTA(SPLIT(K62, CHAR(10))))"),9.0)</f>
        <v>9</v>
      </c>
    </row>
    <row r="63">
      <c r="A63" s="18" t="s">
        <v>118</v>
      </c>
      <c r="B63" s="18" t="s">
        <v>114</v>
      </c>
      <c r="C63" s="18" t="s">
        <v>632</v>
      </c>
      <c r="D63" s="19">
        <v>26.0</v>
      </c>
      <c r="E63" s="11" t="s">
        <v>633</v>
      </c>
      <c r="F63" s="20">
        <f>IFERROR(__xludf.DUMMYFUNCTION("IF(E63="""", 0, COUNTA(SPLIT(E63, CHAR(10))))"),7.0)</f>
        <v>7</v>
      </c>
      <c r="G63" s="11" t="str">
        <f>IFERROR(__xludf.DUMMYFUNCTION("IFERROR(
   IF(
     COUNTA(FILTER(SPLIT(E63, CHAR(10)), NOT(REGEXMATCH(SPLIT(E63, CHAR(10)), "" name is too long"")))) = 0,
     """",
     JOIN(CHAR(10), FILTER(SPLIT(E63, CHAR(10)), NOT(REGEXMATCH(SPLIT(E63, CHAR(10)), "" name is too long""))))
   ),
 "&amp;"  """"
)"),"linha 3: Element Scenario too long: actual 19, expected 15
linha 6: Step ""When Create catalog Currencies objects"" should use And instead of When
linha 7: Step ""When Create catalog IntegrationSettings objects"" should use And instead of When
linha 9: St"&amp;"ep ""Given I open hyperlink ""e1cib/list/ChartOfCharacteristicTypes.CurrencyMovementType"""" should not appear after step using keyword when
linha 24: Multiple empty lines are not allowed
linha 25: Multiple empty lines are not allowed")</f>
        <v>linha 3: Element Scenario too long: actual 19, expected 15
linha 6: Step "When Create catalog Currencies objects" should use And instead of When
linha 7: Step "When Create catalog IntegrationSettings objects" should use And instead of When
linha 9: Step "Given I open hyperlink "e1cib/list/ChartOfCharacteristicTypes.CurrencyMovementType"" should not appear after step using keyword when
linha 24: Multiple empty lines are not allowed
linha 25: Multiple empty lines are not allowed</v>
      </c>
      <c r="H63" s="20">
        <f>IFERROR(__xludf.DUMMYFUNCTION("IF(G63="""", 0, COUNTA(SPLIT(G63, CHAR(10))))"),6.0)</f>
        <v>6</v>
      </c>
      <c r="I63" s="11" t="s">
        <v>634</v>
      </c>
      <c r="J63" s="20">
        <f>IFERROR(__xludf.DUMMYFUNCTION("IF(I63="""", 0, COUNTA(SPLIT(I63, CHAR(10))))"),5.0)</f>
        <v>5</v>
      </c>
      <c r="K63" s="11" t="str">
        <f>IFERROR(__xludf.DUMMYFUNCTION("IFERROR(
   IF(
     COUNTA(FILTER(SPLIT(I63, CHAR(10)), NOT(REGEXMATCH(SPLIT(I63, CHAR(10)), "" name is too long"")))) = 0,
     """",
     JOIN(CHAR(10), FILTER(SPLIT(I63, CHAR(10)), NOT(REGEXMATCH(SPLIT(I63, CHAR(10)), "" name is too long""))))
   ),
 "&amp;"  """"
)"),"linha 3: Element Scenario too long: actual 19, expected 15
linha 6: Step ""When Create catalog Currencies objects"" should use And instead of When
linha 7: Step ""When Create catalog IntegrationSettings objects"" should use And instead of When
linha 9: St"&amp;"ep ""Given I open hyperlink ""e1cib/list/ChartOfCharacteristicTypes.CurrencyMovementType"""" should not appear after step using keyword when")</f>
        <v>linha 3: Element Scenario too long: actual 19, expected 15
linha 6: Step "When Create catalog Currencies objects" should use And instead of When
linha 7: Step "When Create catalog IntegrationSettings objects" should use And instead of When
linha 9: Step "Given I open hyperlink "e1cib/list/ChartOfCharacteristicTypes.CurrencyMovementType"" should not appear after step using keyword when</v>
      </c>
      <c r="L63" s="20">
        <f>IFERROR(__xludf.DUMMYFUNCTION("IF(K63="""", 0, COUNTA(SPLIT(K63, CHAR(10))))"),4.0)</f>
        <v>4</v>
      </c>
    </row>
    <row r="64">
      <c r="A64" s="18" t="s">
        <v>122</v>
      </c>
      <c r="B64" s="18" t="s">
        <v>114</v>
      </c>
      <c r="C64" s="18" t="s">
        <v>635</v>
      </c>
      <c r="D64" s="19">
        <v>13.0</v>
      </c>
      <c r="E64" s="11" t="s">
        <v>636</v>
      </c>
      <c r="F64" s="20">
        <f>IFERROR(__xludf.DUMMYFUNCTION("IF(E64="""", 0, COUNTA(SPLIT(E64, CHAR(10))))"),6.0)</f>
        <v>6</v>
      </c>
      <c r="G64" s="11" t="str">
        <f>IFERROR(__xludf.DUMMYFUNCTION("IFERROR(
   IF(
     COUNTA(FILTER(SPLIT(E64, CHAR(10)), NOT(REGEXMATCH(SPLIT(E64, CHAR(10)), "" name is too long"")))) = 0,
     """",
     JOIN(CHAR(10), FILTER(SPLIT(E64, CHAR(10)), NOT(REGEXMATCH(SPLIT(E64, CHAR(10)), "" name is too long""))))
   ),
 "&amp;"  """"
)"),"linha 6: Step ""Given I open hyperlink ""e1cib/list/Catalog.PaymentSchedules"""" should not appear after step using keyword when
linha 10: Step ""Then I check for the ""PaymentSchedules"" catalog element with the ""Description_tr"" ""Test TR"""" should us"&amp;"e And instead of Then
linha 12: Multiple empty lines are not allowed
linha 13: Multiple empty lines are not allowed")</f>
        <v>linha 6: Step "Given I open hyperlink "e1cib/list/Catalog.PaymentSchedules"" should not appear after step using keyword when
linha 10: Step "Then I check for the "PaymentSchedules" catalog element with the "Description_tr" "Test TR"" should use And instead of Then
linha 12: Multiple empty lines are not allowed
linha 13: Multiple empty lines are not allowed</v>
      </c>
      <c r="H64" s="20">
        <f>IFERROR(__xludf.DUMMYFUNCTION("IF(G64="""", 0, COUNTA(SPLIT(G64, CHAR(10))))"),4.0)</f>
        <v>4</v>
      </c>
      <c r="I64" s="11" t="s">
        <v>637</v>
      </c>
      <c r="J64" s="20">
        <f>IFERROR(__xludf.DUMMYFUNCTION("IF(I64="""", 0, COUNTA(SPLIT(I64, CHAR(10))))"),4.0)</f>
        <v>4</v>
      </c>
      <c r="K64" s="11" t="str">
        <f>IFERROR(__xludf.DUMMYFUNCTION("IFERROR(
   IF(
     COUNTA(FILTER(SPLIT(I64, CHAR(10)), NOT(REGEXMATCH(SPLIT(I64, CHAR(10)), "" name is too long"")))) = 0,
     """",
     JOIN(CHAR(10), FILTER(SPLIT(I64, CHAR(10)), NOT(REGEXMATCH(SPLIT(I64, CHAR(10)), "" name is too long""))))
   ),
 "&amp;"  """"
)"),"linha 6: Step ""Given I open hyperlink ""e1cib/list/Catalog.PaymentSchedules"""" should not appear after step using keyword when
linha 10: Step ""Then I check for the ""PaymentSchedules"" catalog element with the ""Description_tr"" ""Test TR"""" should us"&amp;"e And instead of Then")</f>
        <v>linha 6: Step "Given I open hyperlink "e1cib/list/Catalog.PaymentSchedules"" should not appear after step using keyword when
linha 10: Step "Then I check for the "PaymentSchedules" catalog element with the "Description_tr" "Test TR"" should use And instead of Then</v>
      </c>
      <c r="L64" s="20">
        <f>IFERROR(__xludf.DUMMYFUNCTION("IF(K64="""", 0, COUNTA(SPLIT(K64, CHAR(10))))"),2.0)</f>
        <v>2</v>
      </c>
    </row>
    <row r="65">
      <c r="A65" s="18" t="s">
        <v>126</v>
      </c>
      <c r="B65" s="18" t="s">
        <v>114</v>
      </c>
      <c r="C65" s="18" t="s">
        <v>638</v>
      </c>
      <c r="D65" s="19">
        <v>253.0</v>
      </c>
      <c r="E65" s="11" t="s">
        <v>639</v>
      </c>
      <c r="F65" s="20">
        <f>IFERROR(__xludf.DUMMYFUNCTION("IF(E65="""", 0, COUNTA(SPLIT(E65, CHAR(10))))"),55.0)</f>
        <v>55</v>
      </c>
      <c r="G65" s="11" t="str">
        <f>IFERROR(__xludf.DUMMYFUNCTION("IFERROR(
   IF(
     COUNTA(FILTER(SPLIT(E65, CHAR(10)), NOT(REGEXMATCH(SPLIT(E65, CHAR(10)), "" name is too long"")))) = 0,
     """",
     JOIN(CHAR(10), FILTER(SPLIT(E65, CHAR(10)), NOT(REGEXMATCH(SPLIT(E65, CHAR(10)), "" name is too long""))))
   ),
 "&amp;"  """"
)"),"linha 3: Element Scenario too long: actual 26, expected 15
linha 6: Step ""When Create catalog ItemKeys objects"" should use And instead of When
linha 7: Step ""When Create catalog ItemTypes objects"" should use And instead of When
linha 8: Step ""When Cr"&amp;"eate catalog Units objects"" should use And instead of When
linha 9: Step ""When Create catalog Items objects"" should use And instead of When
linha 10: Step ""When Create catalog Specifications objects"" should use And instead of When
linha 11: Step ""Wh"&amp;"en Create chart of characteristic types AddAttributeAndProperty objects"" should use And instead of When
linha 12: Step ""When Create catalog AddAttributeAndPropertySets objects"" should use And instead of When
linha 13: Step ""When Create catalog AddAttr"&amp;"ibuteAndPropertyValues objects"" should use And instead of When
linha 14: Step ""When Create catalog Companies objects (Main company)"" should use And instead of When
linha 15: Step ""When Create catalog PriceTypes objects"" should use And instead of When"&amp;"
linha 16: Step ""When Create catalog Currencies objects"" should use And instead of When
linha 17: Step ""When Create catalog Partners objects (Ferron BP)"" should use And instead of When
linha 18: Step ""When Create catalog Companies objects (partners c"&amp;"ompany)"" should use And instead of When
linha 19: Step ""When Create catalog Countries objects"" should use And instead of When
linha 20: Step ""When Create information register PartnerSegments records"" should use And instead of When
linha 21: Step ""Wh"&amp;"en Create catalog PartnerSegments objects"" should use And instead of When
linha 22: Step ""When Create catalog Agreements objects"" should use And instead of When
linha 23: Step ""When Create chart of characteristic types CurrencyMovementType objects"" s"&amp;"hould use And instead of When
linha 24: Step ""When Create catalog TaxRates objects"" should use And instead of When
linha 25: Step ""When Create catalog Taxes objects"" should use And instead of When
linha 26: Step ""When Create information register TaxS"&amp;"ettings records"" should use And instead of When
linha 27: Step ""When Create catalog IntegrationSettings objects"" should use And instead of When
linha 28: Step ""When Create information register CurrencyRates records"" should use And instead of When
lin"&amp;"ha 29: Step ""When Create information register Taxes records (VAT)"" should use And instead of When
linha 31: Multiple empty lines are not allowed
linha 32: Multiple empty lines are not allowed
linha 36: Multiple empty lines are not allowed
linha 37: Mult"&amp;"iple empty lines are not allowed
linha 38: Element Scenario too long: actual 30, expected 15
linha 70: Multiple empty lines are not allowed
linha 71: Multiple empty lines are not allowed
linha 72: Element Scenario too long: actual 31, expected 15
linha 74"&amp;": Step ""Given I open hyperlink ""e1cib/list/Document.Unbundling"""" should not appear after step using keyword when
linha 105: Multiple empty lines are not allowed
linha 106: Multiple empty lines are not allowed
linha 107: Element Scenario too long: actu"&amp;"al 30, expected 15
linha 139: Multiple empty lines are not allowed
linha 140: Multiple empty lines are not allowed
linha 141: Element Scenario too long: actual 40, expected 15
linha 152: Step ""Given I open hyperlink ""e1cib/list/Document.Unbundling"""" s"&amp;"hould use And instead of Given
linha 183: Multiple empty lines are not allowed
linha 184: Multiple empty lines are not allowed
linha 185: Element Scenario too long: actual 33, expected 15
linha 216: Step ""Given I open hyperlink ""e1cib/list/Document.Unbu"&amp;"ndling"""" should use And instead of Given
linha 220: Multiple empty lines are not allowed
linha 221: Multiple empty lines are not allowed
linha 231: Multiple empty lines are not allowed
linha 232: Multiple empty lines are not allowed")</f>
        <v>linha 3: Element Scenario too long: actual 26, expected 15
linha 6: Step "When Create catalog ItemKeys objects" should use And instead of When
linha 7: Step "When Create catalog ItemTypes objects" should use And instead of When
linha 8: Step "When Create catalog Units objects" should use And instead of When
linha 9: Step "When Create catalog Items objects" should use And instead of When
linha 10: Step "When Create catalog Specifications objects" should use And instead of When
linha 11: Step "When Create chart of characteristic types AddAttributeAndProperty objects" should use And instead of When
linha 12: Step "When Create catalog AddAttributeAndPropertySets objects" should use And instead of When
linha 13: Step "When Create catalog AddAttributeAndPropertyValues objects" should use And instead of When
linha 14: Step "When Create catalog Companies objects (Main company)" should use And instead of When
linha 15: Step "When Create catalog PriceTypes objects" should use And instead of When
linha 16: Step "When Create catalog Currencies objects" should use And instead of When
linha 17: Step "When Create catalog Partners objects (Ferron BP)" should use And instead of When
linha 18: Step "When Create catalog Companies objects (partners company)" should use And instead of When
linha 19: Step "When Create catalog Countries objects" should use And instead of When
linha 20: Step "When Create information register PartnerSegments records" should use And instead of When
linha 21: Step "When Create catalog PartnerSegments objects" should use And instead of When
linha 22: Step "When Create catalog Agreements objects" should use And instead of When
linha 23: Step "When Create chart of characteristic types CurrencyMovementType objects" should use And instead of When
linha 24: Step "When Create catalog TaxRates objects" should use And instead of When
linha 25: Step "When Create catalog Taxes objects" should use And instead of When
linha 26: Step "When Create information register TaxSettings records" should use And instead of When
linha 27: Step "When Create catalog IntegrationSettings objects" should use And instead of When
linha 28: Step "When Create information register CurrencyRates records" should use And instead of When
linha 29: Step "When Create information register Taxes records (VAT)" should use And instead of When
linha 31: Multiple empty lines are not allowed
linha 32: Multiple empty lines are not allowed
linha 36: Multiple empty lines are not allowed
linha 37: Multiple empty lines are not allowed
linha 38: Element Scenario too long: actual 30, expected 15
linha 70: Multiple empty lines are not allowed
linha 71: Multiple empty lines are not allowed
linha 72: Element Scenario too long: actual 31, expected 15
linha 74: Step "Given I open hyperlink "e1cib/list/Document.Unbundling"" should not appear after step using keyword when
linha 105: Multiple empty lines are not allowed
linha 106: Multiple empty lines are not allowed
linha 107: Element Scenario too long: actual 30, expected 15
linha 139: Multiple empty lines are not allowed
linha 140: Multiple empty lines are not allowed
linha 141: Element Scenario too long: actual 40, expected 15
linha 152: Step "Given I open hyperlink "e1cib/list/Document.Unbundling"" should use And instead of Given
linha 183: Multiple empty lines are not allowed
linha 184: Multiple empty lines are not allowed
linha 185: Element Scenario too long: actual 33, expected 15
linha 216: Step "Given I open hyperlink "e1cib/list/Document.Unbundling"" should use And instead of Given
linha 220: Multiple empty lines are not allowed
linha 221: Multiple empty lines are not allowed
linha 231: Multiple empty lines are not allowed
linha 232: Multiple empty lines are not allowed</v>
      </c>
      <c r="H65" s="20">
        <f>IFERROR(__xludf.DUMMYFUNCTION("IF(G65="""", 0, COUNTA(SPLIT(G65, CHAR(10))))"),49.0)</f>
        <v>49</v>
      </c>
      <c r="I65" s="11" t="s">
        <v>640</v>
      </c>
      <c r="J65" s="20">
        <f>IFERROR(__xludf.DUMMYFUNCTION("IF(I65="""", 0, COUNTA(SPLIT(I65, CHAR(10))))"),39.0)</f>
        <v>39</v>
      </c>
      <c r="K65" s="11" t="str">
        <f>IFERROR(__xludf.DUMMYFUNCTION("IFERROR(
   IF(
     COUNTA(FILTER(SPLIT(I65, CHAR(10)), NOT(REGEXMATCH(SPLIT(I65, CHAR(10)), "" name is too long"")))) = 0,
     """",
     JOIN(CHAR(10), FILTER(SPLIT(I65, CHAR(10)), NOT(REGEXMATCH(SPLIT(I65, CHAR(10)), "" name is too long""))))
   ),
 "&amp;"  """"
)"),"linha 3: Element Scenario too long: actual 26, expected 15
linha 6: Step ""When Create catalog ItemKeys objects"" should use And instead of When
linha 7: Step ""When Create catalog ItemTypes objects"" should use And instead of When
linha 8: Step ""When Cr"&amp;"eate catalog Units objects"" should use And instead of When
linha 9: Step ""When Create catalog Items objects"" should use And instead of When
linha 10: Step ""When Create catalog Specifications objects"" should use And instead of When
linha 11: Step ""Wh"&amp;"en Create chart of characteristic types AddAttributeAndProperty objects"" should use And instead of When
linha 12: Step ""When Create catalog AddAttributeAndPropertySets objects"" should use And instead of When
linha 13: Step ""When Create catalog AddAttr"&amp;"ibuteAndPropertyValues objects"" should use And instead of When
linha 14: Step ""When Create catalog Companies objects (Main company)"" should use And instead of When
linha 15: Step ""When Create catalog PriceTypes objects"" should use And instead of When"&amp;"
linha 16: Step ""When Create catalog Currencies objects"" should use And instead of When
linha 17: Step ""When Create catalog Partners objects (Ferron BP)"" should use And instead of When
linha 18: Step ""When Create catalog Companies objects (partners c"&amp;"ompany)"" should use And instead of When
linha 19: Step ""When Create catalog Countries objects"" should use And instead of When
linha 20: Step ""When Create information register PartnerSegments records"" should use And instead of When
linha 21: Step ""Wh"&amp;"en Create catalog PartnerSegments objects"" should use And instead of When
linha 22: Step ""When Create catalog Agreements objects"" should use And instead of When
linha 23: Step ""When Create chart of characteristic types CurrencyMovementType objects"" s"&amp;"hould use And instead of When
linha 24: Step ""When Create catalog TaxRates objects"" should use And instead of When
linha 25: Step ""When Create catalog Taxes objects"" should use And instead of When
linha 26: Step ""When Create information register TaxS"&amp;"ettings records"" should use And instead of When
linha 27: Step ""When Create catalog IntegrationSettings objects"" should use And instead of When
linha 28: Step ""When Create information register CurrencyRates records"" should use And instead of When
lin"&amp;"ha 29: Step ""When Create information register Taxes records (VAT)"" should use And instead of When
linha 38: Element Scenario too long: actual 30, expected 15
linha 72: Element Scenario too long: actual 31, expected 15
linha 74: Step ""Given I open hyper"&amp;"link ""e1cib/list/Document.Unbundling"""" should not appear after step using keyword when
linha 107: Element Scenario too long: actual 30, expected 15
linha 141: Element Scenario too long: actual 40, expected 15
linha 152: Step ""Given I open hyperlink """&amp;"e1cib/list/Document.Unbundling"""" should use And instead of Given
linha 185: Element Scenario too long: actual 33, expected 15
linha 216: Step ""Given I open hyperlink ""e1cib/list/Document.Unbundling"""" should use And instead of Given")</f>
        <v>linha 3: Element Scenario too long: actual 26, expected 15
linha 6: Step "When Create catalog ItemKeys objects" should use And instead of When
linha 7: Step "When Create catalog ItemTypes objects" should use And instead of When
linha 8: Step "When Create catalog Units objects" should use And instead of When
linha 9: Step "When Create catalog Items objects" should use And instead of When
linha 10: Step "When Create catalog Specifications objects" should use And instead of When
linha 11: Step "When Create chart of characteristic types AddAttributeAndProperty objects" should use And instead of When
linha 12: Step "When Create catalog AddAttributeAndPropertySets objects" should use And instead of When
linha 13: Step "When Create catalog AddAttributeAndPropertyValues objects" should use And instead of When
linha 14: Step "When Create catalog Companies objects (Main company)" should use And instead of When
linha 15: Step "When Create catalog PriceTypes objects" should use And instead of When
linha 16: Step "When Create catalog Currencies objects" should use And instead of When
linha 17: Step "When Create catalog Partners objects (Ferron BP)" should use And instead of When
linha 18: Step "When Create catalog Companies objects (partners company)" should use And instead of When
linha 19: Step "When Create catalog Countries objects" should use And instead of When
linha 20: Step "When Create information register PartnerSegments records" should use And instead of When
linha 21: Step "When Create catalog PartnerSegments objects" should use And instead of When
linha 22: Step "When Create catalog Agreements objects" should use And instead of When
linha 23: Step "When Create chart of characteristic types CurrencyMovementType objects" should use And instead of When
linha 24: Step "When Create catalog TaxRates objects" should use And instead of When
linha 25: Step "When Create catalog Taxes objects" should use And instead of When
linha 26: Step "When Create information register TaxSettings records" should use And instead of When
linha 27: Step "When Create catalog IntegrationSettings objects" should use And instead of When
linha 28: Step "When Create information register CurrencyRates records" should use And instead of When
linha 29: Step "When Create information register Taxes records (VAT)" should use And instead of When
linha 38: Element Scenario too long: actual 30, expected 15
linha 72: Element Scenario too long: actual 31, expected 15
linha 74: Step "Given I open hyperlink "e1cib/list/Document.Unbundling"" should not appear after step using keyword when
linha 107: Element Scenario too long: actual 30, expected 15
linha 141: Element Scenario too long: actual 40, expected 15
linha 152: Step "Given I open hyperlink "e1cib/list/Document.Unbundling"" should use And instead of Given
linha 185: Element Scenario too long: actual 33, expected 15
linha 216: Step "Given I open hyperlink "e1cib/list/Document.Unbundling"" should use And instead of Given</v>
      </c>
      <c r="L65" s="20">
        <f>IFERROR(__xludf.DUMMYFUNCTION("IF(K65="""", 0, COUNTA(SPLIT(K65, CHAR(10))))"),33.0)</f>
        <v>33</v>
      </c>
    </row>
    <row r="66">
      <c r="A66" s="18" t="s">
        <v>333</v>
      </c>
      <c r="B66" s="18" t="s">
        <v>334</v>
      </c>
      <c r="C66" s="18" t="s">
        <v>641</v>
      </c>
      <c r="D66" s="19">
        <v>38.0</v>
      </c>
      <c r="E66" s="11" t="s">
        <v>642</v>
      </c>
      <c r="F66" s="20">
        <f>IFERROR(__xludf.DUMMYFUNCTION("IF(E66="""", 0, COUNTA(SPLIT(E66, CHAR(10))))"),19.0)</f>
        <v>19</v>
      </c>
      <c r="G66" s="11" t="str">
        <f>IFERROR(__xludf.DUMMYFUNCTION("IFERROR(
   IF(
     COUNTA(FILTER(SPLIT(E66, CHAR(10)), NOT(REGEXMATCH(SPLIT(E66, CHAR(10)), "" name is too long"")))) = 0,
     """",
     JOIN(CHAR(10), FILTER(SPLIT(E66, CHAR(10)), NOT(REGEXMATCH(SPLIT(E66, CHAR(10)), "" name is too long""))))
   ),
 "&amp;"  """"
)"),"linha 7: Multiple empty lines are not allowed
linha 8: Multiple empty lines are not allowed
linha 13: Multiple empty lines are not allowed
linha 14: Multiple empty lines are not allowed
linha 19: Multiple empty lines are not allowed
linha 20: Multiple emp"&amp;"ty lines are not allowed
linha 26: Multiple empty lines are not allowed
linha 27: Multiple empty lines are not allowed
linha 32: Multiple empty lines are not allowed
linha 33: Multiple empty lines are not allowed
linha 38: Multiple empty lines are not all"&amp;"owed
linha 39: Multiple empty lines are not allowed
linha 44: Multiple empty lines are not allowed
linha 45: Multiple empty lines are not allowed
linha 50: Multiple empty lines are not allowed
linha 51: Multiple empty lines are not allowed
linha 56: Multi"&amp;"ple empty lines are not allowed
linha 57: Multiple empty lines are not allowed")</f>
        <v>linha 7: Multiple empty lines are not allowed
linha 8: Multiple empty lines are not allowed
linha 13: Multiple empty lines are not allowed
linha 14: Multiple empty lines are not allowed
linha 19: Multiple empty lines are not allowed
linha 20: Multiple empty lines are not allowed
linha 26: Multiple empty lines are not allowed
linha 27: Multiple empty lines are not allowed
linha 32: Multiple empty lines are not allowed
linha 33: Multiple empty lines are not allowed
linha 38: Multiple empty lines are not allowed
linha 39: Multiple empty lines are not allowed
linha 44: Multiple empty lines are not allowed
linha 45: Multiple empty lines are not allowed
linha 50: Multiple empty lines are not allowed
linha 51: Multiple empty lines are not allowed
linha 56: Multiple empty lines are not allowed
linha 57: Multiple empty lines are not allowed</v>
      </c>
      <c r="H66" s="20">
        <f>IFERROR(__xludf.DUMMYFUNCTION("IF(G66="""", 0, COUNTA(SPLIT(G66, CHAR(10))))"),18.0)</f>
        <v>18</v>
      </c>
      <c r="I66" s="11" t="s">
        <v>643</v>
      </c>
      <c r="J66" s="20">
        <f>IFERROR(__xludf.DUMMYFUNCTION("IF(I66="""", 0, COUNTA(SPLIT(I66, CHAR(10))))"),1.0)</f>
        <v>1</v>
      </c>
      <c r="K66" s="11" t="str">
        <f>IFERROR(__xludf.DUMMYFUNCTION("IFERROR(
   IF(
     COUNTA(FILTER(SPLIT(I66, CHAR(10)), NOT(REGEXMATCH(SPLIT(I66, CHAR(10)), "" name is too long"")))) = 0,
     """",
     JOIN(CHAR(10), FILTER(SPLIT(I66, CHAR(10)), NOT(REGEXMATCH(SPLIT(I66, CHAR(10)), "" name is too long""))))
   ),
 "&amp;"  """"
)"),"")</f>
        <v/>
      </c>
      <c r="L66" s="20">
        <f>IFERROR(__xludf.DUMMYFUNCTION("IF(K66="""", 0, COUNTA(SPLIT(K66, CHAR(10))))"),0.0)</f>
        <v>0</v>
      </c>
    </row>
    <row r="67">
      <c r="A67" s="18" t="s">
        <v>338</v>
      </c>
      <c r="B67" s="18" t="s">
        <v>334</v>
      </c>
      <c r="C67" s="18" t="s">
        <v>644</v>
      </c>
      <c r="D67" s="19">
        <v>5.0</v>
      </c>
      <c r="E67" s="11" t="s">
        <v>645</v>
      </c>
      <c r="F67" s="20">
        <f>IFERROR(__xludf.DUMMYFUNCTION("IF(E67="""", 0, COUNTA(SPLIT(E67, CHAR(10))))"),2.0)</f>
        <v>2</v>
      </c>
      <c r="G67" s="11" t="str">
        <f>IFERROR(__xludf.DUMMYFUNCTION("IFERROR(
   IF(
     COUNTA(FILTER(SPLIT(E67, CHAR(10)), NOT(REGEXMATCH(SPLIT(E67, CHAR(10)), "" name is too long"")))) = 0,
     """",
     JOIN(CHAR(10), FILTER(SPLIT(E67, CHAR(10)), NOT(REGEXMATCH(SPLIT(E67, CHAR(10)), "" name is too long""))))
   ),
 "&amp;"  """"
)"),"linha 8: Multiple empty lines are not allowed
linha 9: Multiple empty lines are not allowed")</f>
        <v>linha 8: Multiple empty lines are not allowed
linha 9: Multiple empty lines are not allowed</v>
      </c>
      <c r="H67" s="20">
        <f>IFERROR(__xludf.DUMMYFUNCTION("IF(G67="""", 0, COUNTA(SPLIT(G67, CHAR(10))))"),2.0)</f>
        <v>2</v>
      </c>
      <c r="J67" s="20">
        <f>IFERROR(__xludf.DUMMYFUNCTION("IF(I67="""", 0, COUNTA(SPLIT(I67, CHAR(10))))"),0.0)</f>
        <v>0</v>
      </c>
      <c r="K67" s="11" t="str">
        <f>IFERROR(__xludf.DUMMYFUNCTION("IFERROR(
   IF(
     COUNTA(FILTER(SPLIT(I67, CHAR(10)), NOT(REGEXMATCH(SPLIT(I67, CHAR(10)), "" name is too long"")))) = 0,
     """",
     JOIN(CHAR(10), FILTER(SPLIT(I67, CHAR(10)), NOT(REGEXMATCH(SPLIT(I67, CHAR(10)), "" name is too long""))))
   ),
 "&amp;"  """"
)"),"")</f>
        <v/>
      </c>
      <c r="L67" s="20">
        <f>IFERROR(__xludf.DUMMYFUNCTION("IF(K67="""", 0, COUNTA(SPLIT(K67, CHAR(10))))"),0.0)</f>
        <v>0</v>
      </c>
    </row>
    <row r="68">
      <c r="A68" s="18" t="s">
        <v>342</v>
      </c>
      <c r="B68" s="18" t="s">
        <v>334</v>
      </c>
      <c r="C68" s="18" t="s">
        <v>644</v>
      </c>
      <c r="D68" s="19">
        <v>5.0</v>
      </c>
      <c r="E68" s="11" t="s">
        <v>645</v>
      </c>
      <c r="F68" s="20">
        <f>IFERROR(__xludf.DUMMYFUNCTION("IF(E68="""", 0, COUNTA(SPLIT(E68, CHAR(10))))"),2.0)</f>
        <v>2</v>
      </c>
      <c r="G68" s="11" t="str">
        <f>IFERROR(__xludf.DUMMYFUNCTION("IFERROR(
   IF(
     COUNTA(FILTER(SPLIT(E68, CHAR(10)), NOT(REGEXMATCH(SPLIT(E68, CHAR(10)), "" name is too long"")))) = 0,
     """",
     JOIN(CHAR(10), FILTER(SPLIT(E68, CHAR(10)), NOT(REGEXMATCH(SPLIT(E68, CHAR(10)), "" name is too long""))))
   ),
 "&amp;"  """"
)"),"linha 8: Multiple empty lines are not allowed
linha 9: Multiple empty lines are not allowed")</f>
        <v>linha 8: Multiple empty lines are not allowed
linha 9: Multiple empty lines are not allowed</v>
      </c>
      <c r="H68" s="20">
        <f>IFERROR(__xludf.DUMMYFUNCTION("IF(G68="""", 0, COUNTA(SPLIT(G68, CHAR(10))))"),2.0)</f>
        <v>2</v>
      </c>
      <c r="J68" s="20">
        <f>IFERROR(__xludf.DUMMYFUNCTION("IF(I68="""", 0, COUNTA(SPLIT(I68, CHAR(10))))"),0.0)</f>
        <v>0</v>
      </c>
      <c r="K68" s="11" t="str">
        <f>IFERROR(__xludf.DUMMYFUNCTION("IFERROR(
   IF(
     COUNTA(FILTER(SPLIT(I68, CHAR(10)), NOT(REGEXMATCH(SPLIT(I68, CHAR(10)), "" name is too long"")))) = 0,
     """",
     JOIN(CHAR(10), FILTER(SPLIT(I68, CHAR(10)), NOT(REGEXMATCH(SPLIT(I68, CHAR(10)), "" name is too long""))))
   ),
 "&amp;"  """"
)"),"")</f>
        <v/>
      </c>
      <c r="L68" s="20">
        <f>IFERROR(__xludf.DUMMYFUNCTION("IF(K68="""", 0, COUNTA(SPLIT(K68, CHAR(10))))"),0.0)</f>
        <v>0</v>
      </c>
    </row>
    <row r="69">
      <c r="A69" s="18" t="s">
        <v>345</v>
      </c>
      <c r="B69" s="18" t="s">
        <v>334</v>
      </c>
      <c r="C69" s="18" t="s">
        <v>646</v>
      </c>
      <c r="D69" s="19">
        <v>21.0</v>
      </c>
      <c r="E69" s="11" t="s">
        <v>647</v>
      </c>
      <c r="F69" s="20">
        <f>IFERROR(__xludf.DUMMYFUNCTION("IF(E69="""", 0, COUNTA(SPLIT(E69, CHAR(10))))"),9.0)</f>
        <v>9</v>
      </c>
      <c r="G69" s="11" t="str">
        <f>IFERROR(__xludf.DUMMYFUNCTION("IFERROR(
   IF(
     COUNTA(FILTER(SPLIT(E69, CHAR(10)), NOT(REGEXMATCH(SPLIT(E69, CHAR(10)), "" name is too long"")))) = 0,
     """",
     JOIN(CHAR(10), FILTER(SPLIT(E69, CHAR(10)), NOT(REGEXMATCH(SPLIT(E69, CHAR(10)), "" name is too long""))))
   ),
 "&amp;"  """"
)"),"linha 8: Multiple empty lines are not allowed
linha 9: Multiple empty lines are not allowed
linha 15: Multiple empty lines are not allowed
linha 16: Multiple empty lines are not allowed
linha 22: Multiple empty lines are not allowed
linha 23: Multiple emp"&amp;"ty lines are not allowed
linha 29: Multiple empty lines are not allowed
linha 30: Multiple empty lines are not allowed")</f>
        <v>linha 8: Multiple empty lines are not allowed
linha 9: Multiple empty lines are not allowed
linha 15: Multiple empty lines are not allowed
linha 16: Multiple empty lines are not allowed
linha 22: Multiple empty lines are not allowed
linha 23: Multiple empty lines are not allowed
linha 29: Multiple empty lines are not allowed
linha 30: Multiple empty lines are not allowed</v>
      </c>
      <c r="H69" s="20">
        <f>IFERROR(__xludf.DUMMYFUNCTION("IF(G69="""", 0, COUNTA(SPLIT(G69, CHAR(10))))"),8.0)</f>
        <v>8</v>
      </c>
      <c r="I69" s="11" t="s">
        <v>648</v>
      </c>
      <c r="J69" s="20">
        <f>IFERROR(__xludf.DUMMYFUNCTION("IF(I69="""", 0, COUNTA(SPLIT(I69, CHAR(10))))"),1.0)</f>
        <v>1</v>
      </c>
      <c r="K69" s="11" t="str">
        <f>IFERROR(__xludf.DUMMYFUNCTION("IFERROR(
   IF(
     COUNTA(FILTER(SPLIT(I69, CHAR(10)), NOT(REGEXMATCH(SPLIT(I69, CHAR(10)), "" name is too long"")))) = 0,
     """",
     JOIN(CHAR(10), FILTER(SPLIT(I69, CHAR(10)), NOT(REGEXMATCH(SPLIT(I69, CHAR(10)), "" name is too long""))))
   ),
 "&amp;"  """"
)"),"")</f>
        <v/>
      </c>
      <c r="L69" s="20">
        <f>IFERROR(__xludf.DUMMYFUNCTION("IF(K69="""", 0, COUNTA(SPLIT(K69, CHAR(10))))"),0.0)</f>
        <v>0</v>
      </c>
    </row>
    <row r="70">
      <c r="A70" s="18" t="s">
        <v>349</v>
      </c>
      <c r="B70" s="18" t="s">
        <v>350</v>
      </c>
      <c r="C70" s="18" t="s">
        <v>649</v>
      </c>
      <c r="D70" s="19">
        <v>126.0</v>
      </c>
      <c r="E70" s="11" t="s">
        <v>650</v>
      </c>
      <c r="F70" s="20">
        <f>IFERROR(__xludf.DUMMYFUNCTION("IF(E70="""", 0, COUNTA(SPLIT(E70, CHAR(10))))"),40.0)</f>
        <v>40</v>
      </c>
      <c r="G70" s="11" t="str">
        <f>IFERROR(__xludf.DUMMYFUNCTION("IFERROR(
   IF(
     COUNTA(FILTER(SPLIT(E70, CHAR(10)), NOT(REGEXMATCH(SPLIT(E70, CHAR(10)), "" name is too long"")))) = 0,
     """",
     JOIN(CHAR(10), FILTER(SPLIT(E70, CHAR(10)), NOT(REGEXMATCH(SPLIT(E70, CHAR(10)), "" name is too long""))))
   ),
 "&amp;"  """"
)"),"linha 3: Element Scenario too long: actual 44, expected 15
linha 10: Step ""When I click Account Number ""1205"""" should not appear after step using keyword then
linha 17: Step ""When I enter ""Chairs"" into ""Description"""" should not appear after step"&amp;" using keyword then
linha 34: Step ""When I select ""Custom Summary"" from the drop down ""Summary account for"""" should not appear after step using keyword then
linha 39: Step ""Then I expect to see 0 selected checkboxes in ""Custom Flags"""" should use"&amp;" And instead of Then
linha 41: Step ""When I select ""Inventory"" from the drop down ""Summary account for"""" should not appear after step using keyword then
linha 44: Step ""When I navigate the menu and select the item at ""General Journal &gt; Chart of Ac"&amp;"counts"""" should not appear after step using keyword then
linha 49: Multiple empty lines are not allowed
linha 50: Multiple empty lines are not allowed
linha 56: Step ""When I click Account Number ""1000"""" should not appear after step using keyword the"&amp;"n
linha 59: Step ""When I enter ""Assets"" into ""Description"""" should not appear after step using keyword then
linha 62: Step ""When I navigate the menu and select the item at ""General Journal &gt; Chart of Accounts"""" should not appear after step using"&amp;" keyword then
linha 67: Multiple empty lines are not allowed
linha 68: Multiple empty lines are not allowed
linha 73: Step ""When I click Account Number ""1060"""" should not appear after step using keyword then
linha 75: Step ""When I select the ""Accoun"&amp;"t"" tab"" should not appear after step using keyword then
linha 80: Step ""When I navigate the menu and select the item at ""General Journal &gt; Chart of Accounts"""" should not appear after step using keyword then
linha 85: Multiple empty lines are not all"&amp;"owed
linha 86: Multiple empty lines are not allowed
linha 91: Step ""When I click Account Number ""1000"""" should not appear after step using keyword then
linha 93: Step ""When I select the ""Heading"" tab"" should not appear after step using keyword the"&amp;"n
linha 98: Step ""When I navigate the menu and select the item at ""General Journal &gt; Chart of Accounts"""" should not appear after step using keyword then
linha 103: Multiple empty lines are not allowed
linha 104: Multiple empty lines are not allowed")</f>
        <v>linha 3: Element Scenario too long: actual 44, expected 15
linha 10: Step "When I click Account Number "1205"" should not appear after step using keyword then
linha 17: Step "When I enter "Chairs" into "Description"" should not appear after step using keyword then
linha 34: Step "When I select "Custom Summary" from the drop down "Summary account for"" should not appear after step using keyword then
linha 39: Step "Then I expect to see 0 selected checkboxes in "Custom Flags"" should use And instead of Then
linha 41: Step "When I select "Inventory" from the drop down "Summary account for"" should not appear after step using keyword then
linha 44: Step "When I navigate the menu and select the item at "General Journal &gt; Chart of Accounts"" should not appear after step using keyword then
linha 49: Multiple empty lines are not allowed
linha 50: Multiple empty lines are not allowed
linha 56: Step "When I click Account Number "1000"" should not appear after step using keyword then
linha 59: Step "When I enter "Assets" into "Description"" should not appear after step using keyword then
linha 62: Step "When I navigate the menu and select the item at "General Journal &gt; Chart of Accounts"" should not appear after step using keyword then
linha 67: Multiple empty lines are not allowed
linha 68: Multiple empty lines are not allowed
linha 73: Step "When I click Account Number "1060"" should not appear after step using keyword then
linha 75: Step "When I select the "Account" tab" should not appear after step using keyword then
linha 80: Step "When I navigate the menu and select the item at "General Journal &gt; Chart of Accounts"" should not appear after step using keyword then
linha 85: Multiple empty lines are not allowed
linha 86: Multiple empty lines are not allowed
linha 91: Step "When I click Account Number "1000"" should not appear after step using keyword then
linha 93: Step "When I select the "Heading" tab" should not appear after step using keyword then
linha 98: Step "When I navigate the menu and select the item at "General Journal &gt; Chart of Accounts"" should not appear after step using keyword then
linha 103: Multiple empty lines are not allowed
linha 104: Multiple empty lines are not allowed</v>
      </c>
      <c r="H70" s="20">
        <f>IFERROR(__xludf.DUMMYFUNCTION("IF(G70="""", 0, COUNTA(SPLIT(G70, CHAR(10))))"),24.0)</f>
        <v>24</v>
      </c>
      <c r="I70" s="11" t="s">
        <v>651</v>
      </c>
      <c r="J70" s="20">
        <f>IFERROR(__xludf.DUMMYFUNCTION("IF(I70="""", 0, COUNTA(SPLIT(I70, CHAR(10))))"),32.0)</f>
        <v>32</v>
      </c>
      <c r="K70" s="11" t="str">
        <f>IFERROR(__xludf.DUMMYFUNCTION("IFERROR(
   IF(
     COUNTA(FILTER(SPLIT(I70, CHAR(10)), NOT(REGEXMATCH(SPLIT(I70, CHAR(10)), "" name is too long"")))) = 0,
     """",
     JOIN(CHAR(10), FILTER(SPLIT(I70, CHAR(10)), NOT(REGEXMATCH(SPLIT(I70, CHAR(10)), "" name is too long""))))
   ),
 "&amp;"  """"
)"),"linha 3: Element Scenario too long: actual 44, expected 15
linha 10: Step ""When I click Account Number ""1205"""" should not appear after step using keyword then
linha 17: Step ""When I enter ""Chairs"" into ""Description"""" should not appear after step"&amp;" using keyword then
linha 34: Step ""When I select ""Custom Summary"" from the drop down ""Summary account for"""" should not appear after step using keyword then
linha 39: Step ""Then I expect to see 0 selected checkboxes in ""Custom Flags"""" should use"&amp;" And instead of Then
linha 41: Step ""When I select ""Inventory"" from the drop down ""Summary account for"""" should not appear after step using keyword then
linha 44: Step ""When I navigate the menu and select the item at ""General Journal &gt; Chart of Ac"&amp;"counts"""" should not appear after step using keyword then
linha 56: Step ""When I click Account Number ""1000"""" should not appear after step using keyword then
linha 59: Step ""When I enter ""Assets"" into ""Description"""" should not appear after step"&amp;" using keyword then
linha 62: Step ""When I navigate the menu and select the item at ""General Journal &gt; Chart of Accounts"""" should not appear after step using keyword then
linha 73: Step ""When I click Account Number ""1060"""" should not appear after "&amp;"step using keyword then
linha 75: Step ""When I select the ""Account"" tab"" should not appear after step using keyword then
linha 80: Step ""When I navigate the menu and select the item at ""General Journal &gt; Chart of Accounts"""" should not appear after"&amp;" step using keyword then
linha 91: Step ""When I click Account Number ""1000"""" should not appear after step using keyword then
linha 93: Step ""When I select the ""Heading"" tab"" should not appear after step using keyword then
linha 98: Step ""When I n"&amp;"avigate the menu and select the item at ""General Journal &gt; Chart of Accounts"""" should not appear after step using keyword then")</f>
        <v>linha 3: Element Scenario too long: actual 44, expected 15
linha 10: Step "When I click Account Number "1205"" should not appear after step using keyword then
linha 17: Step "When I enter "Chairs" into "Description"" should not appear after step using keyword then
linha 34: Step "When I select "Custom Summary" from the drop down "Summary account for"" should not appear after step using keyword then
linha 39: Step "Then I expect to see 0 selected checkboxes in "Custom Flags"" should use And instead of Then
linha 41: Step "When I select "Inventory" from the drop down "Summary account for"" should not appear after step using keyword then
linha 44: Step "When I navigate the menu and select the item at "General Journal &gt; Chart of Accounts"" should not appear after step using keyword then
linha 56: Step "When I click Account Number "1000"" should not appear after step using keyword then
linha 59: Step "When I enter "Assets" into "Description"" should not appear after step using keyword then
linha 62: Step "When I navigate the menu and select the item at "General Journal &gt; Chart of Accounts"" should not appear after step using keyword then
linha 73: Step "When I click Account Number "1060"" should not appear after step using keyword then
linha 75: Step "When I select the "Account" tab" should not appear after step using keyword then
linha 80: Step "When I navigate the menu and select the item at "General Journal &gt; Chart of Accounts"" should not appear after step using keyword then
linha 91: Step "When I click Account Number "1000"" should not appear after step using keyword then
linha 93: Step "When I select the "Heading" tab" should not appear after step using keyword then
linha 98: Step "When I navigate the menu and select the item at "General Journal &gt; Chart of Accounts"" should not appear after step using keyword then</v>
      </c>
      <c r="L70" s="20">
        <f>IFERROR(__xludf.DUMMYFUNCTION("IF(K70="""", 0, COUNTA(SPLIT(K70, CHAR(10))))"),16.0)</f>
        <v>16</v>
      </c>
    </row>
    <row r="71">
      <c r="A71" s="18" t="s">
        <v>354</v>
      </c>
      <c r="B71" s="18" t="s">
        <v>350</v>
      </c>
      <c r="C71" s="18" t="s">
        <v>652</v>
      </c>
      <c r="D71" s="19">
        <v>18.0</v>
      </c>
      <c r="E71" s="11" t="s">
        <v>653</v>
      </c>
      <c r="F71" s="20">
        <f>IFERROR(__xludf.DUMMYFUNCTION("IF(E71="""", 0, COUNTA(SPLIT(E71, CHAR(10))))"),6.0)</f>
        <v>6</v>
      </c>
      <c r="G71" s="11" t="str">
        <f>IFERROR(__xludf.DUMMYFUNCTION("IFERROR(
   IF(
     COUNTA(FILTER(SPLIT(E71, CHAR(10)), NOT(REGEXMATCH(SPLIT(E71, CHAR(10)), "" name is too long"")))) = 0,
     """",
     JOIN(CHAR(10), FILTER(SPLIT(E71, CHAR(10)), NOT(REGEXMATCH(SPLIT(E71, CHAR(10)), "" name is too long""))))
   ),
 "&amp;"  """"
)"),"linha 9: Multiple empty lines are not allowed
linha 10: Multiple empty lines are not allowed
linha 17: Multiple empty lines are not allowed
linha 18: Multiple empty lines are not allowed
linha 25: Multiple empty lines are not allowed
linha 26: Multiple em"&amp;"pty lines are not allowed")</f>
        <v>linha 9: Multiple empty lines are not allowed
linha 10: Multiple empty lines are not allowed
linha 17: Multiple empty lines are not allowed
linha 18: Multiple empty lines are not allowed
linha 25: Multiple empty lines are not allowed
linha 26: Multiple empty lines are not allowed</v>
      </c>
      <c r="H71" s="20">
        <f>IFERROR(__xludf.DUMMYFUNCTION("IF(G71="""", 0, COUNTA(SPLIT(G71, CHAR(10))))"),6.0)</f>
        <v>6</v>
      </c>
      <c r="J71" s="20">
        <f>IFERROR(__xludf.DUMMYFUNCTION("IF(I71="""", 0, COUNTA(SPLIT(I71, CHAR(10))))"),0.0)</f>
        <v>0</v>
      </c>
      <c r="K71" s="11" t="str">
        <f>IFERROR(__xludf.DUMMYFUNCTION("IFERROR(
   IF(
     COUNTA(FILTER(SPLIT(I71, CHAR(10)), NOT(REGEXMATCH(SPLIT(I71, CHAR(10)), "" name is too long"")))) = 0,
     """",
     JOIN(CHAR(10), FILTER(SPLIT(I71, CHAR(10)), NOT(REGEXMATCH(SPLIT(I71, CHAR(10)), "" name is too long""))))
   ),
 "&amp;"  """"
)"),"")</f>
        <v/>
      </c>
      <c r="L71" s="20">
        <f>IFERROR(__xludf.DUMMYFUNCTION("IF(K71="""", 0, COUNTA(SPLIT(K71, CHAR(10))))"),0.0)</f>
        <v>0</v>
      </c>
    </row>
    <row r="72">
      <c r="A72" s="18" t="s">
        <v>358</v>
      </c>
      <c r="B72" s="18" t="s">
        <v>350</v>
      </c>
      <c r="C72" s="18" t="s">
        <v>654</v>
      </c>
      <c r="D72" s="19">
        <v>12.0</v>
      </c>
      <c r="E72" s="11" t="s">
        <v>655</v>
      </c>
      <c r="F72" s="20">
        <f>IFERROR(__xludf.DUMMYFUNCTION("IF(E72="""", 0, COUNTA(SPLIT(E72, CHAR(10))))"),6.0)</f>
        <v>6</v>
      </c>
      <c r="G72" s="11" t="str">
        <f>IFERROR(__xludf.DUMMYFUNCTION("IFERROR(
   IF(
     COUNTA(FILTER(SPLIT(E72, CHAR(10)), NOT(REGEXMATCH(SPLIT(E72, CHAR(10)), "" name is too long"")))) = 0,
     """",
     JOIN(CHAR(10), FILTER(SPLIT(E72, CHAR(10)), NOT(REGEXMATCH(SPLIT(E72, CHAR(10)), "" name is too long""))))
   ),
 "&amp;"  """"
)"),"linha 7: Multiple empty lines are not allowed
linha 8: Multiple empty lines are not allowed
linha 13: Multiple empty lines are not allowed
linha 14: Multiple empty lines are not allowed
linha 19: Multiple empty lines are not allowed
linha 20: Multiple emp"&amp;"ty lines are not allowed")</f>
        <v>linha 7: Multiple empty lines are not allowed
linha 8: Multiple empty lines are not allowed
linha 13: Multiple empty lines are not allowed
linha 14: Multiple empty lines are not allowed
linha 19: Multiple empty lines are not allowed
linha 20: Multiple empty lines are not allowed</v>
      </c>
      <c r="H72" s="20">
        <f>IFERROR(__xludf.DUMMYFUNCTION("IF(G72="""", 0, COUNTA(SPLIT(G72, CHAR(10))))"),6.0)</f>
        <v>6</v>
      </c>
      <c r="J72" s="20">
        <f>IFERROR(__xludf.DUMMYFUNCTION("IF(I72="""", 0, COUNTA(SPLIT(I72, CHAR(10))))"),0.0)</f>
        <v>0</v>
      </c>
      <c r="K72" s="11" t="str">
        <f>IFERROR(__xludf.DUMMYFUNCTION("IFERROR(
   IF(
     COUNTA(FILTER(SPLIT(I72, CHAR(10)), NOT(REGEXMATCH(SPLIT(I72, CHAR(10)), "" name is too long"")))) = 0,
     """",
     JOIN(CHAR(10), FILTER(SPLIT(I72, CHAR(10)), NOT(REGEXMATCH(SPLIT(I72, CHAR(10)), "" name is too long""))))
   ),
 "&amp;"  """"
)"),"")</f>
        <v/>
      </c>
      <c r="L72" s="20">
        <f>IFERROR(__xludf.DUMMYFUNCTION("IF(K72="""", 0, COUNTA(SPLIT(K72, CHAR(10))))"),0.0)</f>
        <v>0</v>
      </c>
    </row>
    <row r="73">
      <c r="A73" s="18" t="s">
        <v>362</v>
      </c>
      <c r="B73" s="18" t="s">
        <v>350</v>
      </c>
      <c r="C73" s="18" t="s">
        <v>656</v>
      </c>
      <c r="D73" s="19">
        <v>59.0</v>
      </c>
      <c r="E73" s="11" t="s">
        <v>657</v>
      </c>
      <c r="F73" s="20">
        <f>IFERROR(__xludf.DUMMYFUNCTION("IF(E73="""", 0, COUNTA(SPLIT(E73, CHAR(10))))"),24.0)</f>
        <v>24</v>
      </c>
      <c r="G73" s="11" t="str">
        <f>IFERROR(__xludf.DUMMYFUNCTION("IFERROR(
   IF(
     COUNTA(FILTER(SPLIT(E73, CHAR(10)), NOT(REGEXMATCH(SPLIT(E73, CHAR(10)), "" name is too long"")))) = 0,
     """",
     JOIN(CHAR(10), FILTER(SPLIT(E73, CHAR(10)), NOT(REGEXMATCH(SPLIT(E73, CHAR(10)), "" name is too long""))))
   ),
 "&amp;"  """"
)"),"linha 6: Step ""When I press ""Search"""" should not appear after step using keyword then
linha 16: Multiple empty lines are not allowed
linha 17: Multiple empty lines are not allowed
linha 21: Step ""When I select ""payment"" from the drop down ""Transac"&amp;"tion Type"""" should not appear after step using keyword then
linha 28: Multiple empty lines are not allowed
linha 29: Multiple empty lines are not allowed
linha 33: Step ""When I enter ""ABC"" into ""Description"""" should not appear after step using key"&amp;"word then
linha 40: Multiple empty lines are not allowed
linha 41: Multiple empty lines are not allowed
linha 45: Step ""When I select ""Approved"""" should not appear after step using keyword then
linha 52: Multiple empty lines are not allowed
linha 53: "&amp;"Multiple empty lines are not allowed")</f>
        <v>linha 6: Step "When I press "Search"" should not appear after step using keyword then
linha 16: Multiple empty lines are not allowed
linha 17: Multiple empty lines are not allowed
linha 21: Step "When I select "payment" from the drop down "Transaction Type"" should not appear after step using keyword then
linha 28: Multiple empty lines are not allowed
linha 29: Multiple empty lines are not allowed
linha 33: Step "When I enter "ABC" into "Description"" should not appear after step using keyword then
linha 40: Multiple empty lines are not allowed
linha 41: Multiple empty lines are not allowed
linha 45: Step "When I select "Approved"" should not appear after step using keyword then
linha 52: Multiple empty lines are not allowed
linha 53: Multiple empty lines are not allowed</v>
      </c>
      <c r="H73" s="20">
        <f>IFERROR(__xludf.DUMMYFUNCTION("IF(G73="""", 0, COUNTA(SPLIT(G73, CHAR(10))))"),12.0)</f>
        <v>12</v>
      </c>
      <c r="I73" s="11" t="s">
        <v>658</v>
      </c>
      <c r="J73" s="20">
        <f>IFERROR(__xludf.DUMMYFUNCTION("IF(I73="""", 0, COUNTA(SPLIT(I73, CHAR(10))))"),16.0)</f>
        <v>16</v>
      </c>
      <c r="K73" s="11" t="str">
        <f>IFERROR(__xludf.DUMMYFUNCTION("IFERROR(
   IF(
     COUNTA(FILTER(SPLIT(I73, CHAR(10)), NOT(REGEXMATCH(SPLIT(I73, CHAR(10)), "" name is too long"")))) = 0,
     """",
     JOIN(CHAR(10), FILTER(SPLIT(I73, CHAR(10)), NOT(REGEXMATCH(SPLIT(I73, CHAR(10)), "" name is too long""))))
   ),
 "&amp;"  """"
)"),"linha 6: Step ""When I press ""Search"""" should not appear after step using keyword then
linha 21: Step ""When I select ""payment"" from the drop down ""Transaction Type"""" should not appear after step using keyword then
linha 33: Step ""When I enter """&amp;"ABC"" into ""Description"""" should not appear after step using keyword then
linha 45: Step ""When I select ""Approved"""" should not appear after step using keyword then")</f>
        <v>linha 6: Step "When I press "Search"" should not appear after step using keyword then
linha 21: Step "When I select "payment" from the drop down "Transaction Type"" should not appear after step using keyword then
linha 33: Step "When I enter "ABC" into "Description"" should not appear after step using keyword then
linha 45: Step "When I select "Approved"" should not appear after step using keyword then</v>
      </c>
      <c r="L73" s="20">
        <f>IFERROR(__xludf.DUMMYFUNCTION("IF(K73="""", 0, COUNTA(SPLIT(K73, CHAR(10))))"),4.0)</f>
        <v>4</v>
      </c>
    </row>
    <row r="74">
      <c r="A74" s="18" t="s">
        <v>130</v>
      </c>
      <c r="B74" s="18" t="s">
        <v>131</v>
      </c>
      <c r="C74" s="18" t="s">
        <v>659</v>
      </c>
      <c r="D74" s="19">
        <v>6.0</v>
      </c>
      <c r="E74" s="11" t="s">
        <v>660</v>
      </c>
      <c r="F74" s="20">
        <f>IFERROR(__xludf.DUMMYFUNCTION("IF(E74="""", 0, COUNTA(SPLIT(E74, CHAR(10))))"),3.0)</f>
        <v>3</v>
      </c>
      <c r="G74" s="11" t="str">
        <f>IFERROR(__xludf.DUMMYFUNCTION("IFERROR(
   IF(
     COUNTA(FILTER(SPLIT(E74, CHAR(10)), NOT(REGEXMATCH(SPLIT(E74, CHAR(10)), "" name is too long"")))) = 0,
     """",
     JOIN(CHAR(10), FILTER(SPLIT(E74, CHAR(10)), NOT(REGEXMATCH(SPLIT(E74, CHAR(10)), "" name is too long""))))
   ),
 "&amp;"  """"
)"),"linha 6: Step ""Then the app start time should not exceed ""700"" milliseconds"" should use And instead of Then
linha 8: Multiple empty lines are not allowed
linha 9: Multiple empty lines are not allowed")</f>
        <v>linha 6: Step "Then the app start time should not exceed "700" milliseconds" should use And instead of Then
linha 8: Multiple empty lines are not allowed
linha 9: Multiple empty lines are not allowed</v>
      </c>
      <c r="H74" s="20">
        <f>IFERROR(__xludf.DUMMYFUNCTION("IF(G74="""", 0, COUNTA(SPLIT(G74, CHAR(10))))"),3.0)</f>
        <v>3</v>
      </c>
      <c r="I74" s="11" t="s">
        <v>661</v>
      </c>
      <c r="J74" s="20">
        <f>IFERROR(__xludf.DUMMYFUNCTION("IF(I74="""", 0, COUNTA(SPLIT(I74, CHAR(10))))"),1.0)</f>
        <v>1</v>
      </c>
      <c r="K74" s="11" t="str">
        <f>IFERROR(__xludf.DUMMYFUNCTION("IFERROR(
   IF(
     COUNTA(FILTER(SPLIT(I74, CHAR(10)), NOT(REGEXMATCH(SPLIT(I74, CHAR(10)), "" name is too long"")))) = 0,
     """",
     JOIN(CHAR(10), FILTER(SPLIT(I74, CHAR(10)), NOT(REGEXMATCH(SPLIT(I74, CHAR(10)), "" name is too long""))))
   ),
 "&amp;"  """"
)"),"linha 6: Step ""Then the app start time should not exceed ""700"" milliseconds"" should use And instead of Then")</f>
        <v>linha 6: Step "Then the app start time should not exceed "700" milliseconds" should use And instead of Then</v>
      </c>
      <c r="L74" s="20">
        <f>IFERROR(__xludf.DUMMYFUNCTION("IF(K74="""", 0, COUNTA(SPLIT(K74, CHAR(10))))"),1.0)</f>
        <v>1</v>
      </c>
    </row>
    <row r="75">
      <c r="A75" s="18" t="s">
        <v>135</v>
      </c>
      <c r="B75" s="18" t="s">
        <v>131</v>
      </c>
      <c r="C75" s="18" t="s">
        <v>662</v>
      </c>
      <c r="D75" s="19">
        <v>106.0</v>
      </c>
      <c r="E75" s="11" t="s">
        <v>663</v>
      </c>
      <c r="F75" s="20">
        <f>IFERROR(__xludf.DUMMYFUNCTION("IF(E75="""", 0, COUNTA(SPLIT(E75, CHAR(10))))"),34.0)</f>
        <v>34</v>
      </c>
      <c r="G75" s="11" t="str">
        <f>IFERROR(__xludf.DUMMYFUNCTION("IFERROR(
   IF(
     COUNTA(FILTER(SPLIT(E75, CHAR(10)), NOT(REGEXMATCH(SPLIT(E75, CHAR(10)), "" name is too long"")))) = 0,
     """",
     JOIN(CHAR(10), FILTER(SPLIT(E75, CHAR(10)), NOT(REGEXMATCH(SPLIT(E75, CHAR(10)), "" name is too long""))))
   ),
 "&amp;"  """"
)"),"linha 3: Element Scenario too long: actual 22, expected 15
linha 13: Step ""When I tap on network ""Palm"" to add it"" should not appear after step using keyword then
linha 15: Step ""When I select approve"" should not appear after step using keyword then"&amp;"
linha 18: Step ""When I tap on Switch network"" should not appear after step using keyword then
linha 21: Step ""When I tap on the Settings tab option"" should not appear after step using keyword then
linha 24: Step ""When I tap on the Add Network button"&amp;""" should not appear after step using keyword then
linha 27: Multiple empty lines are not allowed
linha 28: Multiple empty lines are not allowed
linha 29: Multiple empty lines are not allowed
linha 35: Step ""When I tap on the ""CUSTOM NETWORKS"" tab"" sh"&amp;"ould not appear after step using keyword then
linha 44: Multiple empty lines are not allowed
linha 45: Multiple empty lines are not allowed
linha 46: Multiple empty lines are not allowed
linha 47: Element Scenario too long: actual 20, expected 15
linha 54"&amp;": Step ""When I tap on the ""POPULAR"" tab"" should not appear after step using keyword then
linha 59: Step ""When I tap on Switch network"" should not appear after step using keyword then
linha 61: Step ""Then I should see the added network name ""Optimi"&amp;"sm"" in the top navigation bar"" should use And instead of Then
linha 62: Step ""When I tap on the Settings tab option"" should not appear after step using keyword then
linha 69: Multiple empty lines are not allowed
linha 70: Multiple empty lines are not "&amp;"allowed
linha 71: Multiple empty lines are not allowed
linha 72: Element Scenario too long: actual 18, expected 15
linha 77: Step ""When I tap on the ""CUSTOM NETWORKS"" tab"" should not appear after step using keyword then
linha 84: Step ""Then I should "&amp;"see the added network name ""Celo Mainnet"" in the top navigation bar"" should use And instead of Then
linha 85: Step ""When I tap on the Settings tab option"" should not appear after step using keyword then
linha 92: Multiple empty lines are not allowed
"&amp;"linha 93: Multiple empty lines are not allowed
linha 94: Multiple empty lines are not allowed")</f>
        <v>linha 3: Element Scenario too long: actual 22, expected 15
linha 13: Step "When I tap on network "Palm" to add it" should not appear after step using keyword then
linha 15: Step "When I select approve" should not appear after step using keyword then
linha 18: Step "When I tap on Switch network" should not appear after step using keyword then
linha 21: Step "When I tap on the Settings tab option" should not appear after step using keyword then
linha 24: Step "When I tap on the Add Network button" should not appear after step using keyword then
linha 27: Multiple empty lines are not allowed
linha 28: Multiple empty lines are not allowed
linha 29: Multiple empty lines are not allowed
linha 35: Step "When I tap on the "CUSTOM NETWORKS" tab" should not appear after step using keyword then
linha 44: Multiple empty lines are not allowed
linha 45: Multiple empty lines are not allowed
linha 46: Multiple empty lines are not allowed
linha 47: Element Scenario too long: actual 20, expected 15
linha 54: Step "When I tap on the "POPULAR" tab" should not appear after step using keyword then
linha 59: Step "When I tap on Switch network" should not appear after step using keyword then
linha 61: Step "Then I should see the added network name "Optimism" in the top navigation bar" should use And instead of Then
linha 62: Step "When I tap on the Settings tab option" should not appear after step using keyword then
linha 69: Multiple empty lines are not allowed
linha 70: Multiple empty lines are not allowed
linha 71: Multiple empty lines are not allowed
linha 72: Element Scenario too long: actual 18, expected 15
linha 77: Step "When I tap on the "CUSTOM NETWORKS" tab" should not appear after step using keyword then
linha 84: Step "Then I should see the added network name "Celo Mainnet" in the top navigation bar" should use And instead of Then
linha 85: Step "When I tap on the Settings tab option" should not appear after step using keyword then
linha 92: Multiple empty lines are not allowed
linha 93: Multiple empty lines are not allowed
linha 94: Multiple empty lines are not allowed</v>
      </c>
      <c r="H75" s="20">
        <f>IFERROR(__xludf.DUMMYFUNCTION("IF(G75="""", 0, COUNTA(SPLIT(G75, CHAR(10))))"),28.0)</f>
        <v>28</v>
      </c>
      <c r="I75" s="11" t="s">
        <v>664</v>
      </c>
      <c r="J75" s="20">
        <f>IFERROR(__xludf.DUMMYFUNCTION("IF(I75="""", 0, COUNTA(SPLIT(I75, CHAR(10))))"),22.0)</f>
        <v>22</v>
      </c>
      <c r="K75" s="11" t="str">
        <f>IFERROR(__xludf.DUMMYFUNCTION("IFERROR(
   IF(
     COUNTA(FILTER(SPLIT(I75, CHAR(10)), NOT(REGEXMATCH(SPLIT(I75, CHAR(10)), "" name is too long"")))) = 0,
     """",
     JOIN(CHAR(10), FILTER(SPLIT(I75, CHAR(10)), NOT(REGEXMATCH(SPLIT(I75, CHAR(10)), "" name is too long""))))
   ),
 "&amp;"  """"
)"),"linha 3: Element Scenario too long: actual 22, expected 15
linha 13: Step ""When I tap on network ""Palm"" to add it"" should not appear after step using keyword then
linha 15: Step ""When I select approve"" should not appear after step using keyword then"&amp;"
linha 18: Step ""When I tap on Switch network"" should not appear after step using keyword then
linha 21: Step ""When I tap on the Settings tab option"" should not appear after step using keyword then
linha 24: Step ""When I tap on the Add Network button"&amp;""" should not appear after step using keyword then
linha 35: Step ""When I tap on the ""CUSTOM NETWORKS"" tab"" should not appear after step using keyword then
linha 47: Element Scenario too long: actual 20, expected 15
linha 54: Step ""When I tap on the "&amp;"""POPULAR"" tab"" should not appear after step using keyword then
linha 59: Step ""When I tap on Switch network"" should not appear after step using keyword then
linha 61: Step ""Then I should see the added network name ""Optimism"" in the top navigation "&amp;"bar"" should use And instead of Then
linha 62: Step ""When I tap on the Settings tab option"" should not appear after step using keyword then
linha 72: Element Scenario too long: actual 18, expected 15
linha 77: Step ""When I tap on the ""CUSTOM NETWORKS"&amp;""" tab"" should not appear after step using keyword then
linha 84: Step ""Then I should see the added network name ""Celo Mainnet"" in the top navigation bar"" should use And instead of Then
linha 85: Step ""When I tap on the Settings tab option"" should "&amp;"not appear after step using keyword then")</f>
        <v>linha 3: Element Scenario too long: actual 22, expected 15
linha 13: Step "When I tap on network "Palm" to add it" should not appear after step using keyword then
linha 15: Step "When I select approve" should not appear after step using keyword then
linha 18: Step "When I tap on Switch network" should not appear after step using keyword then
linha 21: Step "When I tap on the Settings tab option" should not appear after step using keyword then
linha 24: Step "When I tap on the Add Network button" should not appear after step using keyword then
linha 35: Step "When I tap on the "CUSTOM NETWORKS" tab" should not appear after step using keyword then
linha 47: Element Scenario too long: actual 20, expected 15
linha 54: Step "When I tap on the "POPULAR" tab" should not appear after step using keyword then
linha 59: Step "When I tap on Switch network" should not appear after step using keyword then
linha 61: Step "Then I should see the added network name "Optimism" in the top navigation bar" should use And instead of Then
linha 62: Step "When I tap on the Settings tab option" should not appear after step using keyword then
linha 72: Element Scenario too long: actual 18, expected 15
linha 77: Step "When I tap on the "CUSTOM NETWORKS" tab" should not appear after step using keyword then
linha 84: Step "Then I should see the added network name "Celo Mainnet" in the top navigation bar" should use And instead of Then
linha 85: Step "When I tap on the Settings tab option" should not appear after step using keyword then</v>
      </c>
      <c r="L75" s="20">
        <f>IFERROR(__xludf.DUMMYFUNCTION("IF(K75="""", 0, COUNTA(SPLIT(K75, CHAR(10))))"),16.0)</f>
        <v>16</v>
      </c>
    </row>
    <row r="76">
      <c r="A76" s="18" t="s">
        <v>139</v>
      </c>
      <c r="B76" s="18" t="s">
        <v>131</v>
      </c>
      <c r="C76" s="18" t="s">
        <v>665</v>
      </c>
      <c r="D76" s="19">
        <v>80.0</v>
      </c>
      <c r="E76" s="11" t="s">
        <v>666</v>
      </c>
      <c r="F76" s="20">
        <f>IFERROR(__xludf.DUMMYFUNCTION("IF(E76="""", 0, COUNTA(SPLIT(E76, CHAR(10))))"),25.0)</f>
        <v>25</v>
      </c>
      <c r="G76" s="11" t="str">
        <f>IFERROR(__xludf.DUMMYFUNCTION("IFERROR(
   IF(
     COUNTA(FILTER(SPLIT(E76, CHAR(10)), NOT(REGEXMATCH(SPLIT(E76, CHAR(10)), "" name is too long"")))) = 0,
     """",
     JOIN(CHAR(10), FILTER(SPLIT(E76, CHAR(10)), NOT(REGEXMATCH(SPLIT(E76, CHAR(10)), "" name is too long""))))
   ),
 "&amp;"  """"
)"),"linha 3: Element Scenario too long: actual 17, expected 15
linha 11: Step ""When I tap on the navbar network title button"" should not appear after step using keyword then
linha 13: Step ""When I tap on network ""BNB Smart Chain"" to add it"" should not a"&amp;"ppear after step using keyword then
linha 13: Step ""When I tap on network ""BNB Smart Chain"" to add it"" should use And instead of When
linha 15: Step ""When I tap on button with text ""Approve"""" should not appear after step using keyword then
linha 1"&amp;"7: Step ""When I tap on button with text ""Close"""" should not appear after step using keyword then
linha 22: Multiple empty lines are not allowed
linha 23: Multiple empty lines are not allowed
linha 24: Element Scenario too long: actual 16, expected 15
"&amp;"linha 28: Step ""Then I see ""BNB Smart Chain"" visible in the top navigation bar"" should use And instead of Then
linha 29: Step ""When On the Main Wallet view I tap on the Receive Action"" should not appear after step using keyword then
linha 31: Step "&amp;"""When I tap on button with text ""Request Payment"""" should not appear after step using keyword then
linha 36: Step ""When I type ""12"" into the Request Amount field"" should not appear after step using keyword then
linha 42: Multiple empty lines are n"&amp;"ot allowed
linha 43: Multiple empty lines are not allowed
linha 44: Multiple empty lines are not allowed
linha 45: Element Scenario too long: actual 22, expected 15
linha 51: Step ""When I tap on button with text ""Request Payment"""" should not appear af"&amp;"ter step using keyword then
linha 54: Step ""When I tap on button with text ""Binance Beacon ETH"""" should not appear after step using keyword then
linha 56: Step ""When I tap to navigate back from request view"" should not appear after step using keywor"&amp;"d then
linha 60: Step ""When I tap on button with text ""ChainLink Token"""" should not appear after step using keyword then
linha 65: Step ""Then ""Payment Request QR Code"" is visible"" should use And instead of Then
linha 69: Multiple empty lines are n"&amp;"ot allowed
linha 70: Multiple empty lines are not allowed
linha 71: Multiple empty lines are not allowed")</f>
        <v>linha 3: Element Scenario too long: actual 17, expected 15
linha 11: Step "When I tap on the navbar network title button" should not appear after step using keyword then
linha 13: Step "When I tap on network "BNB Smart Chain" to add it" should not appear after step using keyword then
linha 13: Step "When I tap on network "BNB Smart Chain" to add it" should use And instead of When
linha 15: Step "When I tap on button with text "Approve"" should not appear after step using keyword then
linha 17: Step "When I tap on button with text "Close"" should not appear after step using keyword then
linha 22: Multiple empty lines are not allowed
linha 23: Multiple empty lines are not allowed
linha 24: Element Scenario too long: actual 16, expected 15
linha 28: Step "Then I see "BNB Smart Chain" visible in the top navigation bar" should use And instead of Then
linha 29: Step "When On the Main Wallet view I tap on the Receive Action" should not appear after step using keyword then
linha 31: Step "When I tap on button with text "Request Payment"" should not appear after step using keyword then
linha 36: Step "When I type "12" into the Request Amount field" should not appear after step using keyword then
linha 42: Multiple empty lines are not allowed
linha 43: Multiple empty lines are not allowed
linha 44: Multiple empty lines are not allowed
linha 45: Element Scenario too long: actual 22, expected 15
linha 51: Step "When I tap on button with text "Request Payment"" should not appear after step using keyword then
linha 54: Step "When I tap on button with text "Binance Beacon ETH"" should not appear after step using keyword then
linha 56: Step "When I tap to navigate back from request view" should not appear after step using keyword then
linha 60: Step "When I tap on button with text "ChainLink Token"" should not appear after step using keyword then
linha 65: Step "Then "Payment Request QR Code" is visible" should use And instead of Then
linha 69: Multiple empty lines are not allowed
linha 70: Multiple empty lines are not allowed
linha 71: Multiple empty lines are not allowed</v>
      </c>
      <c r="H76" s="20">
        <f>IFERROR(__xludf.DUMMYFUNCTION("IF(G76="""", 0, COUNTA(SPLIT(G76, CHAR(10))))"),25.0)</f>
        <v>25</v>
      </c>
      <c r="I76" s="11" t="s">
        <v>667</v>
      </c>
      <c r="J76" s="20">
        <f>IFERROR(__xludf.DUMMYFUNCTION("IF(I76="""", 0, COUNTA(SPLIT(I76, CHAR(10))))"),17.0)</f>
        <v>17</v>
      </c>
      <c r="K76" s="11" t="str">
        <f>IFERROR(__xludf.DUMMYFUNCTION("IFERROR(
   IF(
     COUNTA(FILTER(SPLIT(I76, CHAR(10)), NOT(REGEXMATCH(SPLIT(I76, CHAR(10)), "" name is too long"")))) = 0,
     """",
     JOIN(CHAR(10), FILTER(SPLIT(I76, CHAR(10)), NOT(REGEXMATCH(SPLIT(I76, CHAR(10)), "" name is too long""))))
   ),
 "&amp;"  """"
)"),"linha 3: Element Scenario too long: actual 17, expected 15
linha 11: Step ""When I tap on the navbar network title button"" should not appear after step using keyword then
linha 13: Step ""When I tap on network ""BNB Smart Chain"" to add it"" should not a"&amp;"ppear after step using keyword then
linha 13: Step ""When I tap on network ""BNB Smart Chain"" to add it"" should use And instead of When
linha 15: Step ""When I tap on button with text ""Approve"""" should not appear after step using keyword then
linha 1"&amp;"7: Step ""When I tap on button with text ""Close"""" should not appear after step using keyword then
linha 24: Element Scenario too long: actual 16, expected 15
linha 28: Step ""Then I see ""BNB Smart Chain"" visible in the top navigation bar"" should use"&amp;" And instead of Then
linha 29: Step ""When On the Main Wallet view I tap on the Receive Action"" should not appear after step using keyword then
linha 31: Step ""When I tap on button with text ""Request Payment"""" should not appear after step using keywo"&amp;"rd then
linha 36: Step ""When I type ""12"" into the Request Amount field"" should not appear after step using keyword then
linha 45: Element Scenario too long: actual 22, expected 15
linha 51: Step ""When I tap on button with text ""Request Payment"""" s"&amp;"hould not appear after step using keyword then
linha 54: Step ""When I tap on button with text ""Binance Beacon ETH"""" should not appear after step using keyword then
linha 56: Step ""When I tap to navigate back from request view"" should not appear afte"&amp;"r step using keyword then
linha 60: Step ""When I tap on button with text ""ChainLink Token"""" should not appear after step using keyword then
linha 65: Step ""Then ""Payment Request QR Code"" is visible"" should use And instead of Then")</f>
        <v>linha 3: Element Scenario too long: actual 17, expected 15
linha 11: Step "When I tap on the navbar network title button" should not appear after step using keyword then
linha 13: Step "When I tap on network "BNB Smart Chain" to add it" should not appear after step using keyword then
linha 13: Step "When I tap on network "BNB Smart Chain" to add it" should use And instead of When
linha 15: Step "When I tap on button with text "Approve"" should not appear after step using keyword then
linha 17: Step "When I tap on button with text "Close"" should not appear after step using keyword then
linha 24: Element Scenario too long: actual 16, expected 15
linha 28: Step "Then I see "BNB Smart Chain" visible in the top navigation bar" should use And instead of Then
linha 29: Step "When On the Main Wallet view I tap on the Receive Action" should not appear after step using keyword then
linha 31: Step "When I tap on button with text "Request Payment"" should not appear after step using keyword then
linha 36: Step "When I type "12" into the Request Amount field" should not appear after step using keyword then
linha 45: Element Scenario too long: actual 22, expected 15
linha 51: Step "When I tap on button with text "Request Payment"" should not appear after step using keyword then
linha 54: Step "When I tap on button with text "Binance Beacon ETH"" should not appear after step using keyword then
linha 56: Step "When I tap to navigate back from request view" should not appear after step using keyword then
linha 60: Step "When I tap on button with text "ChainLink Token"" should not appear after step using keyword then
linha 65: Step "Then "Payment Request QR Code" is visible" should use And instead of Then</v>
      </c>
      <c r="L76" s="20">
        <f>IFERROR(__xludf.DUMMYFUNCTION("IF(K76="""", 0, COUNTA(SPLIT(K76, CHAR(10))))"),17.0)</f>
        <v>17</v>
      </c>
    </row>
    <row r="77">
      <c r="A77" s="18" t="s">
        <v>143</v>
      </c>
      <c r="B77" s="18" t="s">
        <v>131</v>
      </c>
      <c r="C77" s="18" t="s">
        <v>668</v>
      </c>
      <c r="D77" s="19">
        <v>30.0</v>
      </c>
      <c r="E77" s="11" t="s">
        <v>669</v>
      </c>
      <c r="F77" s="20">
        <f>IFERROR(__xludf.DUMMYFUNCTION("IF(E77="""", 0, COUNTA(SPLIT(E77, CHAR(10))))"),10.0)</f>
        <v>10</v>
      </c>
      <c r="G77" s="11" t="str">
        <f>IFERROR(__xludf.DUMMYFUNCTION("IFERROR(
   IF(
     COUNTA(FILTER(SPLIT(E77, CHAR(10)), NOT(REGEXMATCH(SPLIT(E77, CHAR(10)), "" name is too long"")))) = 0,
     """",
     JOIN(CHAR(10), FILTER(SPLIT(E77, CHAR(10)), NOT(REGEXMATCH(SPLIT(E77, CHAR(10)), "" name is too long""))))
   ),
 "&amp;"  """"
)"),"linha 3: Element Scenario too long: actual 20, expected 15
linha 14: Step ""When I type amount ""1"" into amount input field"" should not appear after step using keyword then
linha 18: Step ""When I tap Edit Gas link"" should not appear after step using k"&amp;"eyword then
linha 20: Step ""When I tap Save Gas Values"" should not appear after step using keyword then
linha 21: Step ""When I tap button ""Send"" on Confirm Amount view"" should not appear after step using keyword then
linha 21: Step ""When I tap butt"&amp;"on ""Send"" on Confirm Amount view"" should use And instead of When
linha 23: Step ""When I tap on the Activity tab option"" should not appear after step using keyword then
linha 26: Multiple empty lines are not allowed
linha 27: Multiple empty lines are "&amp;"not allowed")</f>
        <v>linha 3: Element Scenario too long: actual 20, expected 15
linha 14: Step "When I type amount "1" into amount input field" should not appear after step using keyword then
linha 18: Step "When I tap Edit Gas link" should not appear after step using keyword then
linha 20: Step "When I tap Save Gas Values" should not appear after step using keyword then
linha 21: Step "When I tap button "Send" on Confirm Amount view" should not appear after step using keyword then
linha 21: Step "When I tap button "Send" on Confirm Amount view" should use And instead of When
linha 23: Step "When I tap on the Activity tab option" should not appear after step using keyword then
linha 26: Multiple empty lines are not allowed
linha 27: Multiple empty lines are not allowed</v>
      </c>
      <c r="H77" s="20">
        <f>IFERROR(__xludf.DUMMYFUNCTION("IF(G77="""", 0, COUNTA(SPLIT(G77, CHAR(10))))"),9.0)</f>
        <v>9</v>
      </c>
      <c r="I77" s="11" t="s">
        <v>670</v>
      </c>
      <c r="J77" s="20">
        <f>IFERROR(__xludf.DUMMYFUNCTION("IF(I77="""", 0, COUNTA(SPLIT(I77, CHAR(10))))"),8.0)</f>
        <v>8</v>
      </c>
      <c r="K77" s="11" t="str">
        <f>IFERROR(__xludf.DUMMYFUNCTION("IFERROR(
   IF(
     COUNTA(FILTER(SPLIT(I77, CHAR(10)), NOT(REGEXMATCH(SPLIT(I77, CHAR(10)), "" name is too long"")))) = 0,
     """",
     JOIN(CHAR(10), FILTER(SPLIT(I77, CHAR(10)), NOT(REGEXMATCH(SPLIT(I77, CHAR(10)), "" name is too long""))))
   ),
 "&amp;"  """"
)"),"linha 3: Element Scenario too long: actual 20, expected 15
linha 14: Step ""When I type amount ""1"" into amount input field"" should not appear after step using keyword then
linha 18: Step ""When I tap Edit Gas link"" should not appear after step using k"&amp;"eyword then
linha 20: Step ""When I tap Save Gas Values"" should not appear after step using keyword then
linha 21: Step ""When I tap button ""Send"" on Confirm Amount view"" should not appear after step using keyword then
linha 21: Step ""When I tap butt"&amp;"on ""Send"" on Confirm Amount view"" should use And instead of When
linha 23: Step ""When I tap on the Activity tab option"" should not appear after step using keyword then")</f>
        <v>linha 3: Element Scenario too long: actual 20, expected 15
linha 14: Step "When I type amount "1" into amount input field" should not appear after step using keyword then
linha 18: Step "When I tap Edit Gas link" should not appear after step using keyword then
linha 20: Step "When I tap Save Gas Values" should not appear after step using keyword then
linha 21: Step "When I tap button "Send" on Confirm Amount view" should not appear after step using keyword then
linha 21: Step "When I tap button "Send" on Confirm Amount view" should use And instead of When
linha 23: Step "When I tap on the Activity tab option" should not appear after step using keyword then</v>
      </c>
      <c r="L77" s="20">
        <f>IFERROR(__xludf.DUMMYFUNCTION("IF(K77="""", 0, COUNTA(SPLIT(K77, CHAR(10))))"),7.0)</f>
        <v>7</v>
      </c>
    </row>
    <row r="78">
      <c r="A78" s="18" t="s">
        <v>366</v>
      </c>
      <c r="B78" s="18" t="s">
        <v>367</v>
      </c>
      <c r="C78" s="18" t="s">
        <v>671</v>
      </c>
      <c r="D78" s="19">
        <v>9.0</v>
      </c>
      <c r="E78" s="11" t="s">
        <v>672</v>
      </c>
      <c r="F78" s="20">
        <f>IFERROR(__xludf.DUMMYFUNCTION("IF(E78="""", 0, COUNTA(SPLIT(E78, CHAR(10))))"),3.0)</f>
        <v>3</v>
      </c>
      <c r="G78" s="11" t="str">
        <f>IFERROR(__xludf.DUMMYFUNCTION("IFERROR(
   IF(
     COUNTA(FILTER(SPLIT(E78, CHAR(10)), NOT(REGEXMATCH(SPLIT(E78, CHAR(10)), "" name is too long"")))) = 0,
     """",
     JOIN(CHAR(10), FILTER(SPLIT(E78, CHAR(10)), NOT(REGEXMATCH(SPLIT(E78, CHAR(10)), "" name is too long""))))
   ),
 "&amp;"  """"
)"),"linha 9: Step ""When I click ""div.icon"""" should not appear after step using keyword then
linha 12: Multiple empty lines are not allowed
linha 13: Multiple empty lines are not allowed")</f>
        <v>linha 9: Step "When I click "div.icon"" should not appear after step using keyword then
linha 12: Multiple empty lines are not allowed
linha 13: Multiple empty lines are not allowed</v>
      </c>
      <c r="H78" s="20">
        <f>IFERROR(__xludf.DUMMYFUNCTION("IF(G78="""", 0, COUNTA(SPLIT(G78, CHAR(10))))"),3.0)</f>
        <v>3</v>
      </c>
      <c r="I78" s="11" t="s">
        <v>673</v>
      </c>
      <c r="J78" s="20">
        <f>IFERROR(__xludf.DUMMYFUNCTION("IF(I78="""", 0, COUNTA(SPLIT(I78, CHAR(10))))"),1.0)</f>
        <v>1</v>
      </c>
      <c r="K78" s="11" t="str">
        <f>IFERROR(__xludf.DUMMYFUNCTION("IFERROR(
   IF(
     COUNTA(FILTER(SPLIT(I78, CHAR(10)), NOT(REGEXMATCH(SPLIT(I78, CHAR(10)), "" name is too long"")))) = 0,
     """",
     JOIN(CHAR(10), FILTER(SPLIT(I78, CHAR(10)), NOT(REGEXMATCH(SPLIT(I78, CHAR(10)), "" name is too long""))))
   ),
 "&amp;"  """"
)"),"linha 9: Step ""When I click ""div.icon"""" should not appear after step using keyword then")</f>
        <v>linha 9: Step "When I click "div.icon"" should not appear after step using keyword then</v>
      </c>
      <c r="L78" s="20">
        <f>IFERROR(__xludf.DUMMYFUNCTION("IF(K78="""", 0, COUNTA(SPLIT(K78, CHAR(10))))"),1.0)</f>
        <v>1</v>
      </c>
    </row>
    <row r="79">
      <c r="A79" s="18" t="s">
        <v>371</v>
      </c>
      <c r="B79" s="18" t="s">
        <v>367</v>
      </c>
      <c r="C79" s="18" t="s">
        <v>674</v>
      </c>
      <c r="D79" s="19">
        <v>142.0</v>
      </c>
      <c r="E79" s="11" t="s">
        <v>675</v>
      </c>
      <c r="F79" s="20">
        <f>IFERROR(__xludf.DUMMYFUNCTION("IF(E79="""", 0, COUNTA(SPLIT(E79, CHAR(10))))"),32.0)</f>
        <v>32</v>
      </c>
      <c r="G79" s="11" t="str">
        <f>IFERROR(__xludf.DUMMYFUNCTION("IFERROR(
   IF(
     COUNTA(FILTER(SPLIT(E79, CHAR(10)), NOT(REGEXMATCH(SPLIT(E79, CHAR(10)), "" name is too long"")))) = 0,
     """",
     JOIN(CHAR(10), FILTER(SPLIT(E79, CHAR(10)), NOT(REGEXMATCH(SPLIT(E79, CHAR(10)), "" name is too long""))))
   ),
 "&amp;"  """"
)"),"linha 14: Multiple empty lines are not allowed
linha 15: Multiple empty lines are not allowed
linha 26: Multiple empty lines are not allowed
linha 27: Multiple empty lines are not allowed
linha 42: Step ""Then I should not see ""error"""" should use And i"&amp;"nstead of Then
linha 45: Multiple empty lines are not allowed
linha 46: Multiple empty lines are not allowed
linha 56: Multiple empty lines are not allowed
linha 57: Multiple empty lines are not allowed
linha 66: Multiple empty lines are not allowed
linha"&amp;" 67: Multiple empty lines are not allowed
linha 80: Multiple empty lines are not allowed
linha 81: Multiple empty lines are not allowed
linha 82: Element Scenario too long: actual 18, expected 15
linha 93: Step ""When I follow ""New discussion topic"""" s"&amp;"hould use And instead of When
linha 103: Multiple empty lines are not allowed
linha 104: Multiple empty lines are not allowed
linha 105: Element Scenario too long: actual 16, expected 15
linha 116: Step ""When I follow ""Logout"""" should use And instead "&amp;"of When
linha 119: Step ""When I follow ""Accept"""" should use And instead of When
linha 124: Multiple empty lines are not allowed
linha 125: Multiple empty lines are not allowed
linha 136: Step ""When I follow ""Logout"""" should use And instead of When"&amp;"
linha 139: Step ""When I follow ""Accept"""" should use And instead of When
linha 142: Multiple empty lines are not allowed
linha 143: Multiple empty lines are not allowed
linha 152: Multiple empty lines are not allowed
linha 153: Multiple empty lines ar"&amp;"e not allowed
linha 162: Multiple empty lines are not allowed
linha 163: Multiple empty lines are not allowed
linha 170: Multiple empty lines are not allowed
linha 171: Multiple empty lines are not allowed")</f>
        <v>linha 14: Multiple empty lines are not allowed
linha 15: Multiple empty lines are not allowed
linha 26: Multiple empty lines are not allowed
linha 27: Multiple empty lines are not allowed
linha 42: Step "Then I should not see "error"" should use And instead of Then
linha 45: Multiple empty lines are not allowed
linha 46: Multiple empty lines are not allowed
linha 56: Multiple empty lines are not allowed
linha 57: Multiple empty lines are not allowed
linha 66: Multiple empty lines are not allowed
linha 67: Multiple empty lines are not allowed
linha 80: Multiple empty lines are not allowed
linha 81: Multiple empty lines are not allowed
linha 82: Element Scenario too long: actual 18, expected 15
linha 93: Step "When I follow "New discussion topic"" should use And instead of When
linha 103: Multiple empty lines are not allowed
linha 104: Multiple empty lines are not allowed
linha 105: Element Scenario too long: actual 16, expected 15
linha 116: Step "When I follow "Logout"" should use And instead of When
linha 119: Step "When I follow "Accept"" should use And instead of When
linha 124: Multiple empty lines are not allowed
linha 125: Multiple empty lines are not allowed
linha 136: Step "When I follow "Logout"" should use And instead of When
linha 139: Step "When I follow "Accept"" should use And instead of When
linha 142: Multiple empty lines are not allowed
linha 143: Multiple empty lines are not allowed
linha 152: Multiple empty lines are not allowed
linha 153: Multiple empty lines are not allowed
linha 162: Multiple empty lines are not allowed
linha 163: Multiple empty lines are not allowed
linha 170: Multiple empty lines are not allowed
linha 171: Multiple empty lines are not allowed</v>
      </c>
      <c r="H79" s="20">
        <f>IFERROR(__xludf.DUMMYFUNCTION("IF(G79="""", 0, COUNTA(SPLIT(G79, CHAR(10))))"),32.0)</f>
        <v>32</v>
      </c>
      <c r="I79" s="11" t="s">
        <v>676</v>
      </c>
      <c r="J79" s="20">
        <f>IFERROR(__xludf.DUMMYFUNCTION("IF(I79="""", 0, COUNTA(SPLIT(I79, CHAR(10))))"),8.0)</f>
        <v>8</v>
      </c>
      <c r="K79" s="11" t="str">
        <f>IFERROR(__xludf.DUMMYFUNCTION("IFERROR(
   IF(
     COUNTA(FILTER(SPLIT(I79, CHAR(10)), NOT(REGEXMATCH(SPLIT(I79, CHAR(10)), "" name is too long"")))) = 0,
     """",
     JOIN(CHAR(10), FILTER(SPLIT(I79, CHAR(10)), NOT(REGEXMATCH(SPLIT(I79, CHAR(10)), "" name is too long""))))
   ),
 "&amp;"  """"
)"),"linha 42: Step ""Then I should not see ""error"""" should use And instead of Then
linha 82: Element Scenario too long: actual 18, expected 15
linha 93: Step ""When I follow ""New discussion topic"""" should use And instead of When
linha 105: Element Scena"&amp;"rio too long: actual 16, expected 15
linha 116: Step ""When I follow ""Logout"""" should use And instead of When
linha 119: Step ""When I follow ""Accept"""" should use And instead of When
linha 136: Step ""When I follow ""Logout"""" should use And instea"&amp;"d of When
linha 139: Step ""When I follow ""Accept"""" should use And instead of When")</f>
        <v>linha 42: Step "Then I should not see "error"" should use And instead of Then
linha 82: Element Scenario too long: actual 18, expected 15
linha 93: Step "When I follow "New discussion topic"" should use And instead of When
linha 105: Element Scenario too long: actual 16, expected 15
linha 116: Step "When I follow "Logout"" should use And instead of When
linha 119: Step "When I follow "Accept"" should use And instead of When
linha 136: Step "When I follow "Logout"" should use And instead of When
linha 139: Step "When I follow "Accept"" should use And instead of When</v>
      </c>
      <c r="L79" s="20">
        <f>IFERROR(__xludf.DUMMYFUNCTION("IF(K79="""", 0, COUNTA(SPLIT(K79, CHAR(10))))"),8.0)</f>
        <v>8</v>
      </c>
    </row>
    <row r="80">
      <c r="A80" s="18" t="s">
        <v>375</v>
      </c>
      <c r="B80" s="18" t="s">
        <v>367</v>
      </c>
      <c r="C80" s="18" t="s">
        <v>677</v>
      </c>
      <c r="D80" s="19">
        <v>16.0</v>
      </c>
      <c r="E80" s="11" t="s">
        <v>678</v>
      </c>
      <c r="F80" s="20">
        <f>IFERROR(__xludf.DUMMYFUNCTION("IF(E80="""", 0, COUNTA(SPLIT(E80, CHAR(10))))"),6.0)</f>
        <v>6</v>
      </c>
      <c r="G80" s="11" t="str">
        <f>IFERROR(__xludf.DUMMYFUNCTION("IFERROR(
   IF(
     COUNTA(FILTER(SPLIT(E80, CHAR(10)), NOT(REGEXMATCH(SPLIT(E80, CHAR(10)), "" name is too long"")))) = 0,
     """",
     JOIN(CHAR(10), FILTER(SPLIT(E80, CHAR(10)), NOT(REGEXMATCH(SPLIT(E80, CHAR(10)), "" name is too long""))))
   ),
 "&amp;"  """"
)"),"linha 8: Step ""When I follow ""My enterprises"""" should not appear after step using keyword then
linha 11: Step ""Then I should be on tangerine-dream's control panel"" should use And instead of Then
linha 13: Multiple empty lines are not allowed
linha 1"&amp;"4: Multiple empty lines are not allowed
linha 21: Multiple empty lines are not allowed
linha 22: Multiple empty lines are not allowed")</f>
        <v>linha 8: Step "When I follow "My enterprises"" should not appear after step using keyword then
linha 11: Step "Then I should be on tangerine-dream's control panel" should use And instead of Then
linha 13: Multiple empty lines are not allowed
linha 14: Multiple empty lines are not allowed
linha 21: Multiple empty lines are not allowed
linha 22: Multiple empty lines are not allowed</v>
      </c>
      <c r="H80" s="20">
        <f>IFERROR(__xludf.DUMMYFUNCTION("IF(G80="""", 0, COUNTA(SPLIT(G80, CHAR(10))))"),6.0)</f>
        <v>6</v>
      </c>
      <c r="I80" s="11" t="s">
        <v>679</v>
      </c>
      <c r="J80" s="20">
        <f>IFERROR(__xludf.DUMMYFUNCTION("IF(I80="""", 0, COUNTA(SPLIT(I80, CHAR(10))))"),2.0)</f>
        <v>2</v>
      </c>
      <c r="K80" s="11" t="str">
        <f>IFERROR(__xludf.DUMMYFUNCTION("IFERROR(
   IF(
     COUNTA(FILTER(SPLIT(I80, CHAR(10)), NOT(REGEXMATCH(SPLIT(I80, CHAR(10)), "" name is too long"")))) = 0,
     """",
     JOIN(CHAR(10), FILTER(SPLIT(I80, CHAR(10)), NOT(REGEXMATCH(SPLIT(I80, CHAR(10)), "" name is too long""))))
   ),
 "&amp;"  """"
)"),"linha 8: Step ""When I follow ""My enterprises"""" should not appear after step using keyword then
linha 11: Step ""Then I should be on tangerine-dream's control panel"" should use And instead of Then")</f>
        <v>linha 8: Step "When I follow "My enterprises"" should not appear after step using keyword then
linha 11: Step "Then I should be on tangerine-dream's control panel" should use And instead of Then</v>
      </c>
      <c r="L80" s="20">
        <f>IFERROR(__xludf.DUMMYFUNCTION("IF(K80="""", 0, COUNTA(SPLIT(K80, CHAR(10))))"),2.0)</f>
        <v>2</v>
      </c>
    </row>
    <row r="81">
      <c r="A81" s="18" t="s">
        <v>379</v>
      </c>
      <c r="B81" s="18" t="s">
        <v>367</v>
      </c>
      <c r="C81" s="18" t="s">
        <v>680</v>
      </c>
      <c r="D81" s="19">
        <v>102.0</v>
      </c>
      <c r="E81" s="11" t="s">
        <v>681</v>
      </c>
      <c r="F81" s="20">
        <f>IFERROR(__xludf.DUMMYFUNCTION("IF(E81="""", 0, COUNTA(SPLIT(E81, CHAR(10))))"),36.0)</f>
        <v>36</v>
      </c>
      <c r="G81" s="11" t="str">
        <f>IFERROR(__xludf.DUMMYFUNCTION("IFERROR(
   IF(
     COUNTA(FILTER(SPLIT(E81, CHAR(10)), NOT(REGEXMATCH(SPLIT(E81, CHAR(10)), "" name is too long"")))) = 0,
     """",
     JOIN(CHAR(10), FILTER(SPLIT(E81, CHAR(10)), NOT(REGEXMATCH(SPLIT(E81, CHAR(10)), "" name is too long""))))
   ),
 "&amp;"  """"
)"),"linha 6: Step ""Given I am on the environment control panel"" should use And instead of Given
linha 7: Step ""Given I follow ""Plugins"""" should use And instead of Given
linha 8: Step ""Given I check ""Comment Classification"""" should use And instead of"&amp;" Given
linha 13: Step ""Then I am logged in as ""joaosilva"""" should use And instead of Then
linha 14: Step ""Given the following articles"" should not appear after step using keyword then
linha 16: Step ""Given I am on article ""Article on a person prof"&amp;"ile"""" should not appear after step using keyword then
linha 16: Step ""Given I am on article ""Article on a person profile"""" should use And instead of Given
linha 20: Multiple empty lines are not allowed
linha 21: Multiple empty lines are not allowed
"&amp;"linha 25: Step ""Given I am on the environment control panel"" should use And instead of Given
linha 26: Step ""Given I follow ""Plugins"""" should use And instead of Given
linha 27: Step ""Given I check ""Comment Classification"""" should use And instead"&amp;" of Given
linha 32: Step ""Then I am logged in as ""joaosilva"""" should use And instead of Then
linha 33: Step ""Given I am on article ""Article to comment"""" should not appear after step using keyword then
linha 37: Multiple empty lines are not allowed"&amp;"
linha 38: Multiple empty lines are not allowed
linha 48: Step ""When I follow ""Add a new status"""" should not appear after step using keyword then
linha 54: Multiple empty lines are not allowed
linha 55: Multiple empty lines are not allowed
linha 59: S"&amp;"tep ""Given I am on the environment control panel"" should use And instead of Given
linha 60: Step ""Given I follow ""Plugins"""" should use And instead of Given
linha 61: Step ""Given I check ""Comment Classification"""" should use And instead of Given
l"&amp;"inha 66: Step ""Then I am logged in as ""joaosilva"""" should use And instead of Then
linha 67: Step ""Given the following status"" should not appear after step using keyword then
linha 72: Step ""Then I should see ""added the status Merged"" within ""#co"&amp;"mment-classification-status-list"""" should use And instead of Then
linha 74: Multiple empty lines are not allowed
linha 75: Multiple empty lines are not allowed
linha 79: Step ""Given I am on the environment control panel"" should use And instead of Give"&amp;"n
linha 80: Step ""Given I follow ""Plugins"""" should use And instead of Given
linha 81: Step ""Given I check ""Comment Classification"""" should use And instead of Given
linha 86: Step ""Then I am logged in as ""joaosilva"""" should use And instead of T"&amp;"hen
linha 88: Step ""When I go to article ""Article to comment"""" should not appear after step using keyword then
linha 92: Multiple empty lines are not allowed
linha 93: Multiple empty lines are not allowed")</f>
        <v>linha 6: Step "Given I am on the environment control panel" should use And instead of Given
linha 7: Step "Given I follow "Plugins"" should use And instead of Given
linha 8: Step "Given I check "Comment Classification"" should use And instead of Given
linha 13: Step "Then I am logged in as "joaosilva"" should use And instead of Then
linha 14: Step "Given the following articles" should not appear after step using keyword then
linha 16: Step "Given I am on article "Article on a person profile"" should not appear after step using keyword then
linha 16: Step "Given I am on article "Article on a person profile"" should use And instead of Given
linha 20: Multiple empty lines are not allowed
linha 21: Multiple empty lines are not allowed
linha 25: Step "Given I am on the environment control panel" should use And instead of Given
linha 26: Step "Given I follow "Plugins"" should use And instead of Given
linha 27: Step "Given I check "Comment Classification"" should use And instead of Given
linha 32: Step "Then I am logged in as "joaosilva"" should use And instead of Then
linha 33: Step "Given I am on article "Article to comment"" should not appear after step using keyword then
linha 37: Multiple empty lines are not allowed
linha 38: Multiple empty lines are not allowed
linha 48: Step "When I follow "Add a new status"" should not appear after step using keyword then
linha 54: Multiple empty lines are not allowed
linha 55: Multiple empty lines are not allowed
linha 59: Step "Given I am on the environment control panel" should use And instead of Given
linha 60: Step "Given I follow "Plugins"" should use And instead of Given
linha 61: Step "Given I check "Comment Classification"" should use And instead of Given
linha 66: Step "Then I am logged in as "joaosilva"" should use And instead of Then
linha 67: Step "Given the following status" should not appear after step using keyword then
linha 72: Step "Then I should see "added the status Merged" within "#comment-classification-status-list"" should use And instead of Then
linha 74: Multiple empty lines are not allowed
linha 75: Multiple empty lines are not allowed
linha 79: Step "Given I am on the environment control panel" should use And instead of Given
linha 80: Step "Given I follow "Plugins"" should use And instead of Given
linha 81: Step "Given I check "Comment Classification"" should use And instead of Given
linha 86: Step "Then I am logged in as "joaosilva"" should use And instead of Then
linha 88: Step "When I go to article "Article to comment"" should not appear after step using keyword then
linha 92: Multiple empty lines are not allowed
linha 93: Multiple empty lines are not allowed</v>
      </c>
      <c r="H81" s="20">
        <f>IFERROR(__xludf.DUMMYFUNCTION("IF(G81="""", 0, COUNTA(SPLIT(G81, CHAR(10))))"),34.0)</f>
        <v>34</v>
      </c>
      <c r="I81" s="11" t="s">
        <v>682</v>
      </c>
      <c r="J81" s="20">
        <f>IFERROR(__xludf.DUMMYFUNCTION("IF(I81="""", 0, COUNTA(SPLIT(I81, CHAR(10))))"),26.0)</f>
        <v>26</v>
      </c>
      <c r="K81" s="11" t="str">
        <f>IFERROR(__xludf.DUMMYFUNCTION("IFERROR(
   IF(
     COUNTA(FILTER(SPLIT(I81, CHAR(10)), NOT(REGEXMATCH(SPLIT(I81, CHAR(10)), "" name is too long"")))) = 0,
     """",
     JOIN(CHAR(10), FILTER(SPLIT(I81, CHAR(10)), NOT(REGEXMATCH(SPLIT(I81, CHAR(10)), "" name is too long""))))
   ),
 "&amp;"  """"
)"),"linha 6: Step ""Given I am on the environment control panel"" should use And instead of Given
linha 7: Step ""Given I follow ""Plugins"""" should use And instead of Given
linha 8: Step ""Given I check ""Comment Classification"""" should use And instead of"&amp;" Given
linha 13: Step ""Then I am logged in as ""joaosilva"""" should use And instead of Then
linha 14: Step ""Given the following articles"" should not appear after step using keyword then
linha 16: Step ""Given I am on article ""Article on a person prof"&amp;"ile"""" should not appear after step using keyword then
linha 16: Step ""Given I am on article ""Article on a person profile"""" should use And instead of Given
linha 25: Step ""Given I am on the environment control panel"" should use And instead of Given"&amp;"
linha 26: Step ""Given I follow ""Plugins"""" should use And instead of Given
linha 27: Step ""Given I check ""Comment Classification"""" should use And instead of Given
linha 32: Step ""Then I am logged in as ""joaosilva"""" should use And instead of Th"&amp;"en
linha 33: Step ""Given I am on article ""Article to comment"""" should not appear after step using keyword then
linha 48: Step ""When I follow ""Add a new status"""" should not appear after step using keyword then
linha 59: Step ""Given I am on the env"&amp;"ironment control panel"" should use And instead of Given
linha 60: Step ""Given I follow ""Plugins"""" should use And instead of Given
linha 61: Step ""Given I check ""Comment Classification"""" should use And instead of Given
linha 66: Step ""Then I am l"&amp;"ogged in as ""joaosilva"""" should use And instead of Then
linha 67: Step ""Given the following status"" should not appear after step using keyword then
linha 72: Step ""Then I should see ""added the status Merged"" within ""#comment-classification-status"&amp;"-list"""" should use And instead of Then
linha 79: Step ""Given I am on the environment control panel"" should use And instead of Given
linha 80: Step ""Given I follow ""Plugins"""" should use And instead of Given
linha 81: Step ""Given I check ""Comment "&amp;"Classification"""" should use And instead of Given
linha 86: Step ""Then I am logged in as ""joaosilva"""" should use And instead of Then
linha 88: Step ""When I go to article ""Article to comment"""" should not appear after step using keyword then")</f>
        <v>linha 6: Step "Given I am on the environment control panel" should use And instead of Given
linha 7: Step "Given I follow "Plugins"" should use And instead of Given
linha 8: Step "Given I check "Comment Classification"" should use And instead of Given
linha 13: Step "Then I am logged in as "joaosilva"" should use And instead of Then
linha 14: Step "Given the following articles" should not appear after step using keyword then
linha 16: Step "Given I am on article "Article on a person profile"" should not appear after step using keyword then
linha 16: Step "Given I am on article "Article on a person profile"" should use And instead of Given
linha 25: Step "Given I am on the environment control panel" should use And instead of Given
linha 26: Step "Given I follow "Plugins"" should use And instead of Given
linha 27: Step "Given I check "Comment Classification"" should use And instead of Given
linha 32: Step "Then I am logged in as "joaosilva"" should use And instead of Then
linha 33: Step "Given I am on article "Article to comment"" should not appear after step using keyword then
linha 48: Step "When I follow "Add a new status"" should not appear after step using keyword then
linha 59: Step "Given I am on the environment control panel" should use And instead of Given
linha 60: Step "Given I follow "Plugins"" should use And instead of Given
linha 61: Step "Given I check "Comment Classification"" should use And instead of Given
linha 66: Step "Then I am logged in as "joaosilva"" should use And instead of Then
linha 67: Step "Given the following status" should not appear after step using keyword then
linha 72: Step "Then I should see "added the status Merged" within "#comment-classification-status-list"" should use And instead of Then
linha 79: Step "Given I am on the environment control panel" should use And instead of Given
linha 80: Step "Given I follow "Plugins"" should use And instead of Given
linha 81: Step "Given I check "Comment Classification"" should use And instead of Given
linha 86: Step "Then I am logged in as "joaosilva"" should use And instead of Then
linha 88: Step "When I go to article "Article to comment"" should not appear after step using keyword then</v>
      </c>
      <c r="L81" s="20">
        <f>IFERROR(__xludf.DUMMYFUNCTION("IF(K81="""", 0, COUNTA(SPLIT(K81, CHAR(10))))"),24.0)</f>
        <v>24</v>
      </c>
    </row>
    <row r="82">
      <c r="A82" s="18" t="s">
        <v>383</v>
      </c>
      <c r="B82" s="18" t="s">
        <v>384</v>
      </c>
      <c r="C82" s="18" t="s">
        <v>683</v>
      </c>
      <c r="D82" s="19">
        <v>89.0</v>
      </c>
      <c r="E82" s="11" t="s">
        <v>684</v>
      </c>
      <c r="F82" s="20">
        <f>IFERROR(__xludf.DUMMYFUNCTION("IF(E82="""", 0, COUNTA(SPLIT(E82, CHAR(10))))"),45.0)</f>
        <v>45</v>
      </c>
      <c r="G82" s="11" t="str">
        <f>IFERROR(__xludf.DUMMYFUNCTION("IFERROR(
   IF(
     COUNTA(FILTER(SPLIT(E82, CHAR(10)), NOT(REGEXMATCH(SPLIT(E82, CHAR(10)), "" name is too long"")))) = 0,
     """",
     JOIN(CHAR(10), FILTER(SPLIT(E82, CHAR(10)), NOT(REGEXMATCH(SPLIT(E82, CHAR(10)), "" name is too long""))))
   ),
 "&amp;"  """"
)"),"linha 7: Multiple empty lines are not allowed
linha 8: Multiple empty lines are not allowed
linha 15: Multiple empty lines are not allowed
linha 16: Multiple empty lines are not allowed
linha 23: Multiple empty lines are not allowed
linha 24: Multiple emp"&amp;"ty lines are not allowed
linha 30: Multiple empty lines are not allowed
linha 31: Multiple empty lines are not allowed
linha 38: Multiple empty lines are not allowed
linha 39: Multiple empty lines are not allowed
linha 45: Multiple empty lines are not all"&amp;"owed
linha 46: Multiple empty lines are not allowed
linha 53: Multiple empty lines are not allowed
linha 54: Multiple empty lines are not allowed
linha 61: Multiple empty lines are not allowed
linha 62: Multiple empty lines are not allowed
linha 69: Multi"&amp;"ple empty lines are not allowed
linha 70: Multiple empty lines are not allowed
linha 77: Multiple empty lines are not allowed
linha 78: Multiple empty lines are not allowed
linha 85: Multiple empty lines are not allowed
linha 86: Multiple empty lines are "&amp;"not allowed
linha 93: Multiple empty lines are not allowed
linha 94: Multiple empty lines are not allowed")</f>
        <v>linha 7: Multiple empty lines are not allowed
linha 8: Multiple empty lines are not allowed
linha 15: Multiple empty lines are not allowed
linha 16: Multiple empty lines are not allowed
linha 23: Multiple empty lines are not allowed
linha 24: Multiple empty lines are not allowed
linha 30: Multiple empty lines are not allowed
linha 31: Multiple empty lines are not allowed
linha 38: Multiple empty lines are not allowed
linha 39: Multiple empty lines are not allowed
linha 45: Multiple empty lines are not allowed
linha 46: Multiple empty lines are not allowed
linha 53: Multiple empty lines are not allowed
linha 54: Multiple empty lines are not allowed
linha 61: Multiple empty lines are not allowed
linha 62: Multiple empty lines are not allowed
linha 69: Multiple empty lines are not allowed
linha 70: Multiple empty lines are not allowed
linha 77: Multiple empty lines are not allowed
linha 78: Multiple empty lines are not allowed
linha 85: Multiple empty lines are not allowed
linha 86: Multiple empty lines are not allowed
linha 93: Multiple empty lines are not allowed
linha 94: Multiple empty lines are not allowed</v>
      </c>
      <c r="H82" s="20">
        <f>IFERROR(__xludf.DUMMYFUNCTION("IF(G82="""", 0, COUNTA(SPLIT(G82, CHAR(10))))"),24.0)</f>
        <v>24</v>
      </c>
      <c r="I82" s="11" t="s">
        <v>685</v>
      </c>
      <c r="J82" s="20">
        <f>IFERROR(__xludf.DUMMYFUNCTION("IF(I82="""", 0, COUNTA(SPLIT(I82, CHAR(10))))"),21.0)</f>
        <v>21</v>
      </c>
      <c r="K82" s="11" t="str">
        <f>IFERROR(__xludf.DUMMYFUNCTION("IFERROR(
   IF(
     COUNTA(FILTER(SPLIT(I82, CHAR(10)), NOT(REGEXMATCH(SPLIT(I82, CHAR(10)), "" name is too long"")))) = 0,
     """",
     JOIN(CHAR(10), FILTER(SPLIT(I82, CHAR(10)), NOT(REGEXMATCH(SPLIT(I82, CHAR(10)), "" name is too long""))))
   ),
 "&amp;"  """"
)"),"")</f>
        <v/>
      </c>
      <c r="L82" s="20">
        <f>IFERROR(__xludf.DUMMYFUNCTION("IF(K82="""", 0, COUNTA(SPLIT(K82, CHAR(10))))"),0.0)</f>
        <v>0</v>
      </c>
    </row>
    <row r="83">
      <c r="A83" s="18" t="s">
        <v>388</v>
      </c>
      <c r="B83" s="18" t="s">
        <v>384</v>
      </c>
      <c r="C83" s="18" t="s">
        <v>686</v>
      </c>
      <c r="D83" s="19">
        <v>93.0</v>
      </c>
      <c r="E83" s="11" t="s">
        <v>687</v>
      </c>
      <c r="F83" s="20">
        <f>IFERROR(__xludf.DUMMYFUNCTION("IF(E83="""", 0, COUNTA(SPLIT(E83, CHAR(10))))"),56.0)</f>
        <v>56</v>
      </c>
      <c r="G83" s="11" t="str">
        <f>IFERROR(__xludf.DUMMYFUNCTION("IFERROR(
   IF(
     COUNTA(FILTER(SPLIT(E83, CHAR(10)), NOT(REGEXMATCH(SPLIT(E83, CHAR(10)), "" name is too long"")))) = 0,
     """",
     JOIN(CHAR(10), FILTER(SPLIT(E83, CHAR(10)), NOT(REGEXMATCH(SPLIT(E83, CHAR(10)), "" name is too long""))))
   ),
 "&amp;"  """"
)"),"linha 3: Trailing spaces are not allowed
linha 3: Missing Scenario name
linha 5: Step ""When I send a ""GET"" request to ""/api/v3/profile/me/scopes"""" should use And instead of When
linha 10: Multiple empty lines are not allowed
linha 11: Multiple empty"&amp;" lines are not allowed
linha 12: Scenario name is already used in: output/6-FeatureEvaluation/featuresToEvaluation/Originais/parti-renaissance_espace-adherent/scopes_story_processado.feature:3
linha 12: Trailing spaces are not allowed
linha 12: Missing Sc"&amp;"enario name
linha 14: Step ""When I send a ""GET"" request to ""/api/v3/profile/me/scope/deputy"""" should use And instead of When
linha 19: Multiple empty lines are not allowed
linha 20: Multiple empty lines are not allowed
linha 21: Scenario name is alr"&amp;"eady used in: output/6-FeatureEvaluation/featuresToEvaluation/Originais/parti-renaissance_espace-adherent/scopes_story_processado.feature:3, output/6-FeatureEvaluation/featuresToEvaluation/Originais/parti-renaissance_espace-adherent/scopes_story_processad"&amp;"o.feature:12
linha 21: Trailing spaces are not allowed
linha 21: Missing Scenario name
linha 23: Step ""When I send a ""GET"" request to ""/api/v3/profile/me/scope/national"""" should use And instead of When
linha 28: Multiple empty lines are not allowed
"&amp;"linha 29: Multiple empty lines are not allowed
linha 30: Scenario name is already used in: output/6-FeatureEvaluation/featuresToEvaluation/Originais/parti-renaissance_espace-adherent/scopes_story_processado.feature:3, output/6-FeatureEvaluation/featuresTo"&amp;"Evaluation/Originais/parti-renaissance_espace-adherent/scopes_story_processado.feature:12, output/6-FeatureEvaluation/featuresToEvaluation/Originais/parti-renaissance_espace-adherent/scopes_story_processado.feature:21
linha 30: Trailing spaces are not all"&amp;"owed
linha 30: Missing Scenario name
linha 32: Step ""When I send a ""GET"" request to ""/api/v3/profile/me/scopes"""" should use And instead of When
linha 36: Multiple empty lines are not allowed
linha 37: Multiple empty lines are not allowed
linha 38: S"&amp;"cenario name is already used in: output/6-FeatureEvaluation/featuresToEvaluation/Originais/parti-renaissance_espace-adherent/scopes_story_processado.feature:3, output/6-FeatureEvaluation/featuresToEvaluation/Originais/parti-renaissance_espace-adherent/sco"&amp;"pes_story_processado.feature:12, output/6-FeatureEvaluation/featuresToEvaluation/Originais/parti-renaissance_espace-adherent/scopes_story_processado.feature:21, output/6-FeatureEvaluation/featuresToEvaluation/Originais/parti-renaissance_espace-adherent/sc"&amp;"opes_story_processado.feature:30
linha 38: Trailing spaces are not allowed
linha 38: Missing Scenario name
linha 40: Step ""When I send a ""GET"" request to ""/api/v3/profile/me/scope/delegated_d2315289-a3fd-419c-a3dd-3e1ff71b754d"""" should use And inste"&amp;"ad of When
linha 45: Multiple empty lines are not allowed
linha 46: Multiple empty lines are not allowed
linha 47: Scenario name is already used in: output/6-FeatureEvaluation/featuresToEvaluation/Originais/parti-renaissance_espace-adherent/scopes_story_p"&amp;"rocessado.feature:3, output/6-FeatureEvaluation/featuresToEvaluation/Originais/parti-renaissance_espace-adherent/scopes_story_processado.feature:12, output/6-FeatureEvaluation/featuresToEvaluation/Originais/parti-renaissance_espace-adherent/scopes_story_p"&amp;"rocessado.feature:21, output/6-FeatureEvaluation/featuresToEvaluation/Originais/parti-renaissance_espace-adherent/scopes_story_processado.feature:30, output/6-FeatureEvaluation/featuresToEvaluation/Originais/parti-renaissance_espace-adherent/scopes_story_"&amp;"processado.feature:38
linha 47: Trailing spaces are not allowed
linha 47: Missing Scenario name
linha 49: Step ""When I send a ""GET"" request to ""/api/v3/profile/me/scope/delegated_08f40730-d807-4975-8773-69d8fae1da74"""" should use And instead of When
"&amp;"linha 54: Multiple empty lines are not allowed
linha 55: Multiple empty lines are not allowed
linha 56: Scenario name is already used in: output/6-FeatureEvaluation/featuresToEvaluation/Originais/parti-renaissance_espace-adherent/scopes_story_processado.f"&amp;"eature:3, output/6-FeatureEvaluation/featuresToEvaluation/Originais/parti-renaissance_espace-adherent/scopes_story_processado.feature:12, output/6-FeatureEvaluation/featuresToEvaluation/Originais/parti-renaissance_espace-adherent/scopes_story_processado.f"&amp;"eature:21, output/6-FeatureEvaluation/featuresToEvaluation/Originais/parti-renaissance_espace-adherent/scopes_story_processado.feature:30, output/6-FeatureEvaluation/featuresToEvaluation/Originais/parti-renaissance_espace-adherent/scopes_story_processado."&amp;"feature:38, output/6-FeatureEvaluation/featuresToEvaluation/Originais/parti-renaissance_espace-adherent/scopes_story_processado.feature:47
linha 56: Trailing spaces are not allowed
linha 56: Missing Scenario name
linha 63: Multiple empty lines are not all"&amp;"owed
linha 64: Multiple empty lines are not allowed
linha 65: Scenario name is already used in: output/6-FeatureEvaluation/featuresToEvaluation/Originais/parti-renaissance_espace-adherent/scopes_story_processado.feature:3, output/6-FeatureEvaluation/featu"&amp;"resToEvaluation/Originais/parti-renaissance_espace-adherent/scopes_story_processado.feature:12, output/6-FeatureEvaluation/featuresToEvaluation/Originais/parti-renaissance_espace-adherent/scopes_story_processado.feature:21, output/6-FeatureEvaluation/feat"&amp;"uresToEvaluation/Originais/parti-renaissance_espace-adherent/scopes_story_processado.feature:30, output/6-FeatureEvaluation/featuresToEvaluation/Originais/parti-renaissance_espace-adherent/scopes_story_processado.feature:38, output/6-FeatureEvaluation/fea"&amp;"turesToEvaluation/Originais/parti-renaissance_espace-adherent/scopes_story_processado.feature:47, output/6-FeatureEvaluation/featuresToEvaluation/Originais/parti-renaissance_espace-adherent/scopes_story_processado.feature:56
linha 65: Trailing spaces are "&amp;"not allowed
linha 65: Missing Scenario name
linha 67: Step ""When I send a ""GET"" request to ""/api/v3/profile/me/scope/test"""" should use And instead of When
linha 70: Multiple empty lines are not allowed
linha 71: Multiple empty lines are not allowed")</f>
        <v>linha 3: Trailing spaces are not allowed
linha 3: Missing Scenario name
linha 5: Step "When I send a "GET" request to "/api/v3/profile/me/scopes"" should use And instead of When
linha 10: Multiple empty lines are not allowed
linha 11: Multiple empty lines are not allowed
linha 12: Scenario name is already used in: output/6-FeatureEvaluation/featuresToEvaluation/Originais/parti-renaissance_espace-adherent/scopes_story_processado.feature:3
linha 12: Trailing spaces are not allowed
linha 12: Missing Scenario name
linha 14: Step "When I send a "GET" request to "/api/v3/profile/me/scope/deputy"" should use And instead of When
linha 19: Multiple empty lines are not allowed
linha 20: Multiple empty lines are not allowed
linha 21: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
linha 21: Trailing spaces are not allowed
linha 21: Missing Scenario name
linha 23: Step "When I send a "GET" request to "/api/v3/profile/me/scope/national"" should use And instead of When
linha 28: Multiple empty lines are not allowed
linha 29: Multiple empty lines are not allowed
linha 30: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
linha 30: Trailing spaces are not allowed
linha 30: Missing Scenario name
linha 32: Step "When I send a "GET" request to "/api/v3/profile/me/scopes"" should use And instead of When
linha 36: Multiple empty lines are not allowed
linha 37: Multiple empty lines are not allowed
linha 38: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
linha 38: Trailing spaces are not allowed
linha 38: Missing Scenario name
linha 40: Step "When I send a "GET" request to "/api/v3/profile/me/scope/delegated_d2315289-a3fd-419c-a3dd-3e1ff71b754d"" should use And instead of When
linha 45: Multiple empty lines are not allowed
linha 46: Multiple empty lines are not allowed
linha 47: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
linha 47: Trailing spaces are not allowed
linha 47: Missing Scenario name
linha 49: Step "When I send a "GET" request to "/api/v3/profile/me/scope/delegated_08f40730-d807-4975-8773-69d8fae1da74"" should use And instead of When
linha 54: Multiple empty lines are not allowed
linha 55: Multiple empty lines are not allowed
linha 56: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
linha 56: Trailing spaces are not allowed
linha 56: Missing Scenario name
linha 63: Multiple empty lines are not allowed
linha 64: Multiple empty lines are not allowed
linha 65: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output/6-FeatureEvaluation/featuresToEvaluation/Originais/parti-renaissance_espace-adherent/scopes_story_processado.feature:47, output/6-FeatureEvaluation/featuresToEvaluation/Originais/parti-renaissance_espace-adherent/scopes_story_processado.feature:56
linha 65: Trailing spaces are not allowed
linha 65: Missing Scenario name
linha 67: Step "When I send a "GET" request to "/api/v3/profile/me/scope/test"" should use And instead of When
linha 70: Multiple empty lines are not allowed
linha 71: Multiple empty lines are not allowed</v>
      </c>
      <c r="H83" s="20">
        <f>IFERROR(__xludf.DUMMYFUNCTION("IF(G83="""", 0, COUNTA(SPLIT(G83, CHAR(10))))"),46.0)</f>
        <v>46</v>
      </c>
      <c r="I83" s="11" t="s">
        <v>688</v>
      </c>
      <c r="J83" s="20">
        <f>IFERROR(__xludf.DUMMYFUNCTION("IF(I83="""", 0, COUNTA(SPLIT(I83, CHAR(10))))"),40.0)</f>
        <v>40</v>
      </c>
      <c r="K83" s="11" t="str">
        <f>IFERROR(__xludf.DUMMYFUNCTION("IFERROR(
   IF(
     COUNTA(FILTER(SPLIT(I83, CHAR(10)), NOT(REGEXMATCH(SPLIT(I83, CHAR(10)), "" name is too long"")))) = 0,
     """",
     JOIN(CHAR(10), FILTER(SPLIT(I83, CHAR(10)), NOT(REGEXMATCH(SPLIT(I83, CHAR(10)), "" name is too long""))))
   ),
 "&amp;"  """"
)"),"linha 3: Trailing spaces are not allowed
linha 3: Missing Scenario name
linha 5: Step ""When I send a ""GET"" request to ""/api/v3/profile/me/scopes"""" should use And instead of When
linha 12: Scenario name is already used in: output/6-FeatureEvaluation/"&amp;"featuresToEvaluation/Originais/parti-renaissance_espace-adherent/scopes_story_processado.feature:3
linha 12: Trailing spaces are not allowed
linha 12: Missing Scenario name
linha 14: Step ""When I send a ""GET"" request to ""/api/v3/profile/me/scope/deput"&amp;"y"""" should use And instead of When
linha 21: Scenario name is already used in: output/6-FeatureEvaluation/featuresToEvaluation/Originais/parti-renaissance_espace-adherent/scopes_story_processado.feature:3, output/6-FeatureEvaluation/featuresToEvaluation"&amp;"/Originais/parti-renaissance_espace-adherent/scopes_story_processado.feature:12
linha 21: Trailing spaces are not allowed
linha 21: Missing Scenario name
linha 23: Step ""When I send a ""GET"" request to ""/api/v3/profile/me/scope/national"""" should use "&amp;"And instead of When
linha 30: Scenario name is already used in: output/6-FeatureEvaluation/featuresToEvaluation/Originais/parti-renaissance_espace-adherent/scopes_story_processado.feature:3, output/6-FeatureEvaluation/featuresToEvaluation/Originais/parti-"&amp;"renaissance_espace-adherent/scopes_story_processado.feature:12, output/6-FeatureEvaluation/featuresToEvaluation/Originais/parti-renaissance_espace-adherent/scopes_story_processado.feature:21
linha 30: Trailing spaces are not allowed
linha 30: Missing Scen"&amp;"ario name
linha 32: Step ""When I send a ""GET"" request to ""/api/v3/profile/me/scopes"""" should use And instead of When
linha 38: Scenario name is already used in: output/6-FeatureEvaluation/featuresToEvaluation/Originais/parti-renaissance_espace-adher"&amp;"ent/scopes_story_processado.feature:3, output/6-FeatureEvaluation/featuresToEvaluation/Originais/parti-renaissance_espace-adherent/scopes_story_processado.feature:12, output/6-FeatureEvaluation/featuresToEvaluation/Originais/parti-renaissance_espace-adher"&amp;"ent/scopes_story_processado.feature:21, output/6-FeatureEvaluation/featuresToEvaluation/Originais/parti-renaissance_espace-adherent/scopes_story_processado.feature:30
linha 38: Trailing spaces are not allowed
linha 38: Missing Scenario name
linha 40: Step"&amp;" ""When I send a ""GET"" request to ""/api/v3/profile/me/scope/delegated_d2315289-a3fd-419c-a3dd-3e1ff71b754d"""" should use And instead of When
linha 47: Scenario name is already used in: output/6-FeatureEvaluation/featuresToEvaluation/Originais/parti-re"&amp;"naissance_espace-adherent/scopes_story_processado.feature:3, output/6-FeatureEvaluation/featuresToEvaluation/Originais/parti-renaissance_espace-adherent/scopes_story_processado.feature:12, output/6-FeatureEvaluation/featuresToEvaluation/Originais/parti-re"&amp;"naissance_espace-adherent/scopes_story_processado.feature:21, output/6-FeatureEvaluation/featuresToEvaluation/Originais/parti-renaissance_espace-adherent/scopes_story_processado.feature:30, output/6-FeatureEvaluation/featuresToEvaluation/Originais/parti-r"&amp;"enaissance_espace-adherent/scopes_story_processado.feature:38
linha 47: Trailing spaces are not allowed
linha 47: Missing Scenario name
linha 49: Step ""When I send a ""GET"" request to ""/api/v3/profile/me/scope/delegated_08f40730-d807-4975-8773-69d8fae1"&amp;"da74"""" should use And instead of When
linha 56: Scenario name is already used in: output/6-FeatureEvaluation/featuresToEvaluation/Originais/parti-renaissance_espace-adherent/scopes_story_processado.feature:3, output/6-FeatureEvaluation/featuresToEvaluat"&amp;"ion/Originais/parti-renaissance_espace-adherent/scopes_story_processado.feature:12, output/6-FeatureEvaluation/featuresToEvaluation/Originais/parti-renaissance_espace-adherent/scopes_story_processado.feature:21, output/6-FeatureEvaluation/featuresToEvalua"&amp;"tion/Originais/parti-renaissance_espace-adherent/scopes_story_processado.feature:30, output/6-FeatureEvaluation/featuresToEvaluation/Originais/parti-renaissance_espace-adherent/scopes_story_processado.feature:38, output/6-FeatureEvaluation/featuresToEvalu"&amp;"ation/Originais/parti-renaissance_espace-adherent/scopes_story_processado.feature:47
linha 56: Trailing spaces are not allowed
linha 56: Missing Scenario name
linha 65: Scenario name is already used in: output/6-FeatureEvaluation/featuresToEvaluation/Orig"&amp;"inais/parti-renaissance_espace-adherent/scopes_story_processado.feature:3, output/6-FeatureEvaluation/featuresToEvaluation/Originais/parti-renaissance_espace-adherent/scopes_story_processado.feature:12, output/6-FeatureEvaluation/featuresToEvaluation/Orig"&amp;"inais/parti-renaissance_espace-adherent/scopes_story_processado.feature:21, output/6-FeatureEvaluation/featuresToEvaluation/Originais/parti-renaissance_espace-adherent/scopes_story_processado.feature:30, output/6-FeatureEvaluation/featuresToEvaluation/Ori"&amp;"ginais/parti-renaissance_espace-adherent/scopes_story_processado.feature:38, output/6-FeatureEvaluation/featuresToEvaluation/Originais/parti-renaissance_espace-adherent/scopes_story_processado.feature:47, output/6-FeatureEvaluation/featuresToEvaluation/Or"&amp;"iginais/parti-renaissance_espace-adherent/scopes_story_processado.feature:56
linha 65: Trailing spaces are not allowed
linha 65: Missing Scenario name
linha 67: Step ""When I send a ""GET"" request to ""/api/v3/profile/me/scope/test"""" should use And ins"&amp;"tead of When")</f>
        <v>linha 3: Trailing spaces are not allowed
linha 3: Missing Scenario name
linha 5: Step "When I send a "GET" request to "/api/v3/profile/me/scopes"" should use And instead of When
linha 12: Scenario name is already used in: output/6-FeatureEvaluation/featuresToEvaluation/Originais/parti-renaissance_espace-adherent/scopes_story_processado.feature:3
linha 12: Trailing spaces are not allowed
linha 12: Missing Scenario name
linha 14: Step "When I send a "GET" request to "/api/v3/profile/me/scope/deputy"" should use And instead of When
linha 21: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
linha 21: Trailing spaces are not allowed
linha 21: Missing Scenario name
linha 23: Step "When I send a "GET" request to "/api/v3/profile/me/scope/national"" should use And instead of When
linha 30: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
linha 30: Trailing spaces are not allowed
linha 30: Missing Scenario name
linha 32: Step "When I send a "GET" request to "/api/v3/profile/me/scopes"" should use And instead of When
linha 38: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
linha 38: Trailing spaces are not allowed
linha 38: Missing Scenario name
linha 40: Step "When I send a "GET" request to "/api/v3/profile/me/scope/delegated_d2315289-a3fd-419c-a3dd-3e1ff71b754d"" should use And instead of When
linha 47: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
linha 47: Trailing spaces are not allowed
linha 47: Missing Scenario name
linha 49: Step "When I send a "GET" request to "/api/v3/profile/me/scope/delegated_08f40730-d807-4975-8773-69d8fae1da74"" should use And instead of When
linha 56: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
linha 56: Trailing spaces are not allowed
linha 56: Missing Scenario name
linha 65: Scenario name is already used in: output/6-FeatureEvaluation/featuresToEvaluation/Originais/parti-renaissance_espace-adherent/scopes_story_processado.feature:3, output/6-FeatureEvaluation/featuresToEvaluation/Originais/parti-renaissance_espace-adherent/scopes_story_processado.feature:12, output/6-FeatureEvaluation/featuresToEvaluation/Originais/parti-renaissance_espace-adherent/scopes_story_processado.feature:21, output/6-FeatureEvaluation/featuresToEvaluation/Originais/parti-renaissance_espace-adherent/scopes_story_processado.feature:30, output/6-FeatureEvaluation/featuresToEvaluation/Originais/parti-renaissance_espace-adherent/scopes_story_processado.feature:38, output/6-FeatureEvaluation/featuresToEvaluation/Originais/parti-renaissance_espace-adherent/scopes_story_processado.feature:47, output/6-FeatureEvaluation/featuresToEvaluation/Originais/parti-renaissance_espace-adherent/scopes_story_processado.feature:56
linha 65: Trailing spaces are not allowed
linha 65: Missing Scenario name
linha 67: Step "When I send a "GET" request to "/api/v3/profile/me/scope/test"" should use And instead of When</v>
      </c>
      <c r="L83" s="20">
        <f>IFERROR(__xludf.DUMMYFUNCTION("IF(K83="""", 0, COUNTA(SPLIT(K83, CHAR(10))))"),30.0)</f>
        <v>30</v>
      </c>
    </row>
    <row r="84">
      <c r="A84" s="18" t="s">
        <v>392</v>
      </c>
      <c r="B84" s="18" t="s">
        <v>384</v>
      </c>
      <c r="C84" s="18" t="s">
        <v>689</v>
      </c>
      <c r="D84" s="19">
        <v>22.0</v>
      </c>
      <c r="E84" s="11" t="s">
        <v>690</v>
      </c>
      <c r="F84" s="20">
        <f>IFERROR(__xludf.DUMMYFUNCTION("IF(E84="""", 0, COUNTA(SPLIT(E84, CHAR(10))))"),9.0)</f>
        <v>9</v>
      </c>
      <c r="G84" s="11" t="str">
        <f>IFERROR(__xludf.DUMMYFUNCTION("IFERROR(
   IF(
     COUNTA(FILTER(SPLIT(E84, CHAR(10)), NOT(REGEXMATCH(SPLIT(E84, CHAR(10)), "" name is too long"")))) = 0,
     """",
     JOIN(CHAR(10), FILTER(SPLIT(E84, CHAR(10)), NOT(REGEXMATCH(SPLIT(E84, CHAR(10)), "" name is too long""))))
   ),
 "&amp;"  """"
)"),"linha 8: Step ""When I follow ""Mettre fin à mon don mensuel"""" should not appear after step using keyword then
linha 11: Step ""When I press ""Non"""" should not appear after step using keyword then
linha 13: Step ""When I follow ""Mettre fin à mon don "&amp;"mensuel"""" should not appear after step using keyword then
linha 14: Step ""When I press ""Oui"""" should not appear after step using keyword then
linha 14: Step ""When I press ""Oui"""" should use And instead of When
linha 18: Multiple empty lines are n"&amp;"ot allowed
linha 19: Multiple empty lines are not allowed")</f>
        <v>linha 8: Step "When I follow "Mettre fin à mon don mensuel"" should not appear after step using keyword then
linha 11: Step "When I press "Non"" should not appear after step using keyword then
linha 13: Step "When I follow "Mettre fin à mon don mensuel"" should not appear after step using keyword then
linha 14: Step "When I press "Oui"" should not appear after step using keyword then
linha 14: Step "When I press "Oui"" should use And instead of When
linha 18: Multiple empty lines are not allowed
linha 19: Multiple empty lines are not allowed</v>
      </c>
      <c r="H84" s="20">
        <f>IFERROR(__xludf.DUMMYFUNCTION("IF(G84="""", 0, COUNTA(SPLIT(G84, CHAR(10))))"),7.0)</f>
        <v>7</v>
      </c>
      <c r="I84" s="11" t="s">
        <v>691</v>
      </c>
      <c r="J84" s="20">
        <f>IFERROR(__xludf.DUMMYFUNCTION("IF(I84="""", 0, COUNTA(SPLIT(I84, CHAR(10))))"),7.0)</f>
        <v>7</v>
      </c>
      <c r="K84" s="11" t="str">
        <f>IFERROR(__xludf.DUMMYFUNCTION("IFERROR(
   IF(
     COUNTA(FILTER(SPLIT(I84, CHAR(10)), NOT(REGEXMATCH(SPLIT(I84, CHAR(10)), "" name is too long"")))) = 0,
     """",
     JOIN(CHAR(10), FILTER(SPLIT(I84, CHAR(10)), NOT(REGEXMATCH(SPLIT(I84, CHAR(10)), "" name is too long""))))
   ),
 "&amp;"  """"
)"),"linha 8: Step ""When I follow ""Mettre fin à mon don mensuel"""" should not appear after step using keyword then
linha 11: Step ""When I press ""Non"""" should not appear after step using keyword then
linha 13: Step ""When I follow ""Mettre fin à mon don "&amp;"mensuel"""" should not appear after step using keyword then
linha 14: Step ""When I press ""Oui"""" should not appear after step using keyword then
linha 14: Step ""When I press ""Oui"""" should use And instead of When")</f>
        <v>linha 8: Step "When I follow "Mettre fin à mon don mensuel"" should not appear after step using keyword then
linha 11: Step "When I press "Non"" should not appear after step using keyword then
linha 13: Step "When I follow "Mettre fin à mon don mensuel"" should not appear after step using keyword then
linha 14: Step "When I press "Oui"" should not appear after step using keyword then
linha 14: Step "When I press "Oui"" should use And instead of When</v>
      </c>
      <c r="L84" s="20">
        <f>IFERROR(__xludf.DUMMYFUNCTION("IF(K84="""", 0, COUNTA(SPLIT(K84, CHAR(10))))"),5.0)</f>
        <v>5</v>
      </c>
    </row>
    <row r="85">
      <c r="A85" s="18" t="s">
        <v>396</v>
      </c>
      <c r="B85" s="18" t="s">
        <v>384</v>
      </c>
      <c r="C85" s="18" t="s">
        <v>692</v>
      </c>
      <c r="D85" s="19">
        <v>31.0</v>
      </c>
      <c r="E85" s="11" t="s">
        <v>693</v>
      </c>
      <c r="F85" s="20">
        <f>IFERROR(__xludf.DUMMYFUNCTION("IF(E85="""", 0, COUNTA(SPLIT(E85, CHAR(10))))"),13.0)</f>
        <v>13</v>
      </c>
      <c r="G85" s="11" t="str">
        <f>IFERROR(__xludf.DUMMYFUNCTION("IFERROR(
   IF(
     COUNTA(FILTER(SPLIT(E85, CHAR(10)), NOT(REGEXMATCH(SPLIT(E85, CHAR(10)), "" name is too long"")))) = 0,
     """",
     JOIN(CHAR(10), FILTER(SPLIT(E85, CHAR(10)), NOT(REGEXMATCH(SPLIT(E85, CHAR(10)), "" name is too long""))))
   ),
 "&amp;"  """"
)"),"linha 8: Step ""When I send a ""GET"" request to ""/api/zones"" with parameters:"" should not appear after step using keyword then
linha 13: Multiple empty lines are not allowed
linha 14: Multiple empty lines are not allowed
linha 22: Multiple empty lines"&amp;" are not allowed
linha 23: Multiple empty lines are not allowed
linha 24: Scenario name is already used in: output/6-FeatureEvaluation/featuresToEvaluation/Originais/parti-renaissance_espace-adherent/zones_story_processado.feature:15
linha 31: Multiple em"&amp;"pty lines are not allowed
linha 32: Multiple empty lines are not allowed")</f>
        <v>linha 8: Step "When I send a "GET" request to "/api/zones" with parameters:" should not appear after step using keyword then
linha 13: Multiple empty lines are not allowed
linha 14: Multiple empty lines are not allowed
linha 22: Multiple empty lines are not allowed
linha 23: Multiple empty lines are not allowed
linha 24: Scenario name is already used in: output/6-FeatureEvaluation/featuresToEvaluation/Originais/parti-renaissance_espace-adherent/zones_story_processado.feature:15
linha 31: Multiple empty lines are not allowed
linha 32: Multiple empty lines are not allowed</v>
      </c>
      <c r="H85" s="20">
        <f>IFERROR(__xludf.DUMMYFUNCTION("IF(G85="""", 0, COUNTA(SPLIT(G85, CHAR(10))))"),8.0)</f>
        <v>8</v>
      </c>
      <c r="I85" s="11" t="s">
        <v>694</v>
      </c>
      <c r="J85" s="20">
        <f>IFERROR(__xludf.DUMMYFUNCTION("IF(I85="""", 0, COUNTA(SPLIT(I85, CHAR(10))))"),7.0)</f>
        <v>7</v>
      </c>
      <c r="K85" s="11" t="str">
        <f>IFERROR(__xludf.DUMMYFUNCTION("IFERROR(
   IF(
     COUNTA(FILTER(SPLIT(I85, CHAR(10)), NOT(REGEXMATCH(SPLIT(I85, CHAR(10)), "" name is too long"")))) = 0,
     """",
     JOIN(CHAR(10), FILTER(SPLIT(I85, CHAR(10)), NOT(REGEXMATCH(SPLIT(I85, CHAR(10)), "" name is too long""))))
   ),
 "&amp;"  """"
)"),"linha 8: Step ""When I send a ""GET"" request to ""/api/zones"" with parameters:"" should not appear after step using keyword then
linha 24: Scenario name is already used in: output/6-FeatureEvaluation/featuresToEvaluation/Originais/parti-renaissance_espa"&amp;"ce-adherent/zones_story_processado.feature:15")</f>
        <v>linha 8: Step "When I send a "GET" request to "/api/zones" with parameters:" should not appear after step using keyword then
linha 24: Scenario name is already used in: output/6-FeatureEvaluation/featuresToEvaluation/Originais/parti-renaissance_espace-adherent/zones_story_processado.feature:15</v>
      </c>
      <c r="L85" s="20">
        <f>IFERROR(__xludf.DUMMYFUNCTION("IF(K85="""", 0, COUNTA(SPLIT(K85, CHAR(10))))"),2.0)</f>
        <v>2</v>
      </c>
    </row>
    <row r="86">
      <c r="A86" s="18" t="s">
        <v>147</v>
      </c>
      <c r="B86" s="18" t="s">
        <v>148</v>
      </c>
      <c r="C86" s="18" t="s">
        <v>695</v>
      </c>
      <c r="D86" s="19">
        <v>61.0</v>
      </c>
      <c r="E86" s="11" t="s">
        <v>696</v>
      </c>
      <c r="F86" s="20">
        <f>IFERROR(__xludf.DUMMYFUNCTION("IF(E86="""", 0, COUNTA(SPLIT(E86, CHAR(10))))"),23.0)</f>
        <v>23</v>
      </c>
      <c r="G86" s="11" t="str">
        <f>IFERROR(__xludf.DUMMYFUNCTION("IFERROR(
   IF(
     COUNTA(FILTER(SPLIT(E86, CHAR(10)), NOT(REGEXMATCH(SPLIT(E86, CHAR(10)), "" name is too long"")))) = 0,
     """",
     JOIN(CHAR(10), FILTER(SPLIT(E86, CHAR(10)), NOT(REGEXMATCH(SPLIT(E86, CHAR(10)), "" name is too long""))))
   ),
 "&amp;"  """"
)"),"linha 3: Element Scenario too long: actual 31, expected 15
linha 7: Step ""When I answer ""Yes"" to the custom educator screening question"" should not appear after step using keyword then
linha 11: Step ""When I fill out the Job Code field with a valid J"&amp;"ob Classification Number"" should not appear after step using keyword then
linha 32: Step ""When I confirm details on the review page"" should not appear after step using keyword then
linha 33: Step ""When I agree to the terms and submit"" should not appe"&amp;"ar after step using keyword then
linha 33: Step ""When I agree to the terms and submit"" should use And instead of When
linha 36: Multiple empty lines are not allowed
linha 37: Multiple empty lines are not allowed
linha 42: Step ""When I answer ""No"" to "&amp;"the custom educator screening question"" should not appear after step using keyword then
linha 43: Step ""When I hit the Next button ""1"" times"" should not appear after step using keyword then
linha 43: Step ""When I hit the Next button ""1"" times"" sh"&amp;"ould use And instead of When
linha 47: Multiple empty lines are not allowed
linha 48: Multiple empty lines are not allowed")</f>
        <v>linha 3: Element Scenario too long: actual 31, expected 15
linha 7: Step "When I answer "Yes" to the custom educator screening question" should not appear after step using keyword then
linha 11: Step "When I fill out the Job Code field with a valid Job Classification Number" should not appear after step using keyword then
linha 32: Step "When I confirm details on the review page" should not appear after step using keyword then
linha 33: Step "When I agree to the terms and submit" should not appear after step using keyword then
linha 33: Step "When I agree to the terms and submit" should use And instead of When
linha 36: Multiple empty lines are not allowed
linha 37: Multiple empty lines are not allowed
linha 42: Step "When I answer "No" to the custom educator screening question" should not appear after step using keyword then
linha 43: Step "When I hit the Next button "1" times" should not appear after step using keyword then
linha 43: Step "When I hit the Next button "1" times" should use And instead of When
linha 47: Multiple empty lines are not allowed
linha 48: Multiple empty lines are not allowed</v>
      </c>
      <c r="H86" s="20">
        <f>IFERROR(__xludf.DUMMYFUNCTION("IF(G86="""", 0, COUNTA(SPLIT(G86, CHAR(10))))"),13.0)</f>
        <v>13</v>
      </c>
      <c r="I86" s="11" t="s">
        <v>697</v>
      </c>
      <c r="J86" s="20">
        <f>IFERROR(__xludf.DUMMYFUNCTION("IF(I86="""", 0, COUNTA(SPLIT(I86, CHAR(10))))"),19.0)</f>
        <v>19</v>
      </c>
      <c r="K86" s="11" t="str">
        <f>IFERROR(__xludf.DUMMYFUNCTION("IFERROR(
   IF(
     COUNTA(FILTER(SPLIT(I86, CHAR(10)), NOT(REGEXMATCH(SPLIT(I86, CHAR(10)), "" name is too long"")))) = 0,
     """",
     JOIN(CHAR(10), FILTER(SPLIT(I86, CHAR(10)), NOT(REGEXMATCH(SPLIT(I86, CHAR(10)), "" name is too long""))))
   ),
 "&amp;"  """"
)"),"linha 3: Element Scenario too long: actual 31, expected 15
linha 7: Step ""When I answer ""Yes"" to the custom educator screening question"" should not appear after step using keyword then
linha 11: Step ""When I fill out the Job Code field with a valid J"&amp;"ob Classification Number"" should not appear after step using keyword then
linha 32: Step ""When I confirm details on the review page"" should not appear after step using keyword then
linha 33: Step ""When I agree to the terms and submit"" should not appe"&amp;"ar after step using keyword then
linha 33: Step ""When I agree to the terms and submit"" should use And instead of When
linha 42: Step ""When I answer ""No"" to the custom educator screening question"" should not appear after step using keyword then
linha"&amp;" 43: Step ""When I hit the Next button ""1"" times"" should not appear after step using keyword then
linha 43: Step ""When I hit the Next button ""1"" times"" should use And instead of When")</f>
        <v>linha 3: Element Scenario too long: actual 31, expected 15
linha 7: Step "When I answer "Yes" to the custom educator screening question" should not appear after step using keyword then
linha 11: Step "When I fill out the Job Code field with a valid Job Classification Number" should not appear after step using keyword then
linha 32: Step "When I confirm details on the review page" should not appear after step using keyword then
linha 33: Step "When I agree to the terms and submit" should not appear after step using keyword then
linha 33: Step "When I agree to the terms and submit" should use And instead of When
linha 42: Step "When I answer "No" to the custom educator screening question" should not appear after step using keyword then
linha 43: Step "When I hit the Next button "1" times" should not appear after step using keyword then
linha 43: Step "When I hit the Next button "1" times" should use And instead of When</v>
      </c>
      <c r="L86" s="20">
        <f>IFERROR(__xludf.DUMMYFUNCTION("IF(K86="""", 0, COUNTA(SPLIT(K86, CHAR(10))))"),9.0)</f>
        <v>9</v>
      </c>
    </row>
    <row r="87">
      <c r="A87" s="18" t="s">
        <v>152</v>
      </c>
      <c r="B87" s="18" t="s">
        <v>148</v>
      </c>
      <c r="C87" s="18" t="s">
        <v>698</v>
      </c>
      <c r="D87" s="19">
        <v>84.0</v>
      </c>
      <c r="E87" s="11" t="s">
        <v>699</v>
      </c>
      <c r="F87" s="20">
        <f>IFERROR(__xludf.DUMMYFUNCTION("IF(E87="""", 0, COUNTA(SPLIT(E87, CHAR(10))))"),25.0)</f>
        <v>25</v>
      </c>
      <c r="G87" s="11" t="str">
        <f>IFERROR(__xludf.DUMMYFUNCTION("IFERROR(
   IF(
     COUNTA(FILTER(SPLIT(E87, CHAR(10)), NOT(REGEXMATCH(SPLIT(E87, CHAR(10)), "" name is too long"")))) = 0,
     """",
     JOIN(CHAR(10), FILTER(SPLIT(E87, CHAR(10)), NOT(REGEXMATCH(SPLIT(E87, CHAR(10)), "" name is too long""))))
   ),
 "&amp;"  """"
)"),"linha 3: Element Scenario too long: actual 31, expected 15
linha 7: Step ""When I answer ""Yes"" to the custom educator screening question"" should not appear after step using keyword then
linha 11: Step ""When I fill out the Job Code field with a valid J"&amp;"ob Classification Number"" should not appear after step using keyword then
linha 32: Step ""When I confirm details on the review page"" should not appear after step using keyword then
linha 33: Step ""When I agree to the terms and submit"" should not appe"&amp;"ar after step using keyword then
linha 33: Step ""When I agree to the terms and submit"" should use And instead of When
linha 36: Multiple empty lines are not allowed
linha 37: Multiple empty lines are not allowed
linha 38: Element Scenario too long: actu"&amp;"al 28, expected 15
linha 42: Step ""When I answer ""No"" to the custom educator screening question"" should not appear after step using keyword then
linha 44: Step ""When I hit the Next button ""1"" times"" should not appear after step using keyword then
"&amp;"linha 64: Step ""When I confirm details on the review page"" should not appear after step using keyword then
linha 68: Multiple empty lines are not allowed
linha 69: Multiple empty lines are not allowed")</f>
        <v>linha 3: Element Scenario too long: actual 31, expected 15
linha 7: Step "When I answer "Yes" to the custom educator screening question" should not appear after step using keyword then
linha 11: Step "When I fill out the Job Code field with a valid Job Classification Number" should not appear after step using keyword then
linha 32: Step "When I confirm details on the review page" should not appear after step using keyword then
linha 33: Step "When I agree to the terms and submit" should not appear after step using keyword then
linha 33: Step "When I agree to the terms and submit" should use And instead of When
linha 36: Multiple empty lines are not allowed
linha 37: Multiple empty lines are not allowed
linha 38: Element Scenario too long: actual 28, expected 15
linha 42: Step "When I answer "No" to the custom educator screening question" should not appear after step using keyword then
linha 44: Step "When I hit the Next button "1" times" should not appear after step using keyword then
linha 64: Step "When I confirm details on the review page" should not appear after step using keyword then
linha 68: Multiple empty lines are not allowed
linha 69: Multiple empty lines are not allowed</v>
      </c>
      <c r="H87" s="20">
        <f>IFERROR(__xludf.DUMMYFUNCTION("IF(G87="""", 0, COUNTA(SPLIT(G87, CHAR(10))))"),14.0)</f>
        <v>14</v>
      </c>
      <c r="I87" s="11" t="s">
        <v>700</v>
      </c>
      <c r="J87" s="20">
        <f>IFERROR(__xludf.DUMMYFUNCTION("IF(I87="""", 0, COUNTA(SPLIT(I87, CHAR(10))))"),21.0)</f>
        <v>21</v>
      </c>
      <c r="K87" s="11" t="str">
        <f>IFERROR(__xludf.DUMMYFUNCTION("IFERROR(
   IF(
     COUNTA(FILTER(SPLIT(I87, CHAR(10)), NOT(REGEXMATCH(SPLIT(I87, CHAR(10)), "" name is too long"")))) = 0,
     """",
     JOIN(CHAR(10), FILTER(SPLIT(I87, CHAR(10)), NOT(REGEXMATCH(SPLIT(I87, CHAR(10)), "" name is too long""))))
   ),
 "&amp;"  """"
)"),"linha 3: Element Scenario too long: actual 31, expected 15
linha 7: Step ""When I answer ""Yes"" to the custom educator screening question"" should not appear after step using keyword then
linha 11: Step ""When I fill out the Job Code field with a valid J"&amp;"ob Classification Number"" should not appear after step using keyword then
linha 32: Step ""When I confirm details on the review page"" should not appear after step using keyword then
linha 33: Step ""When I agree to the terms and submit"" should not appe"&amp;"ar after step using keyword then
linha 33: Step ""When I agree to the terms and submit"" should use And instead of When
linha 38: Element Scenario too long: actual 28, expected 15
linha 42: Step ""When I answer ""No"" to the custom educator screening ques"&amp;"tion"" should not appear after step using keyword then
linha 44: Step ""When I hit the Next button ""1"" times"" should not appear after step using keyword then
linha 64: Step ""When I confirm details on the review page"" should not appear after step usin"&amp;"g keyword then")</f>
        <v>linha 3: Element Scenario too long: actual 31, expected 15
linha 7: Step "When I answer "Yes" to the custom educator screening question" should not appear after step using keyword then
linha 11: Step "When I fill out the Job Code field with a valid Job Classification Number" should not appear after step using keyword then
linha 32: Step "When I confirm details on the review page" should not appear after step using keyword then
linha 33: Step "When I agree to the terms and submit" should not appear after step using keyword then
linha 33: Step "When I agree to the terms and submit" should use And instead of When
linha 38: Element Scenario too long: actual 28, expected 15
linha 42: Step "When I answer "No" to the custom educator screening question" should not appear after step using keyword then
linha 44: Step "When I hit the Next button "1" times" should not appear after step using keyword then
linha 64: Step "When I confirm details on the review page" should not appear after step using keyword then</v>
      </c>
      <c r="L87" s="20">
        <f>IFERROR(__xludf.DUMMYFUNCTION("IF(K87="""", 0, COUNTA(SPLIT(K87, CHAR(10))))"),10.0)</f>
        <v>10</v>
      </c>
    </row>
    <row r="88">
      <c r="A88" s="18" t="s">
        <v>156</v>
      </c>
      <c r="B88" s="18" t="s">
        <v>148</v>
      </c>
      <c r="C88" s="18" t="s">
        <v>701</v>
      </c>
      <c r="D88" s="19">
        <v>74.0</v>
      </c>
      <c r="E88" s="11" t="s">
        <v>702</v>
      </c>
      <c r="F88" s="20">
        <f>IFERROR(__xludf.DUMMYFUNCTION("IF(E88="""", 0, COUNTA(SPLIT(E88, CHAR(10))))"),21.0)</f>
        <v>21</v>
      </c>
      <c r="G88" s="11" t="str">
        <f>IFERROR(__xludf.DUMMYFUNCTION("IFERROR(
   IF(
     COUNTA(FILTER(SPLIT(E88, CHAR(10)), NOT(REGEXMATCH(SPLIT(E88, CHAR(10)), "" name is too long"")))) = 0,
     """",
     JOIN(CHAR(10), FILTER(SPLIT(E88, CHAR(10)), NOT(REGEXMATCH(SPLIT(E88, CHAR(10)), "" name is too long""))))
   ),
 "&amp;"  """"
)"),"linha 18: Multiple empty lines are not allowed
linha 19: Multiple empty lines are not allowed
linha 20: Element Scenario too long: actual 40, expected 15
linha 38: Step ""When I click the Live in the Neighborhood checkbox"" should not appear after step us"&amp;"ing keyword then
linha 40: Step ""When I select ""Jonny Doe"" for ""neighborhoodResidence"" preference"" should not appear after step using keyword then
linha 50: Step ""When I click the Live in the Neighborhood checkbox"" should not appear after step usi"&amp;"ng keyword then
linha 52: Step ""When I click the Live in the Neighborhood checkbox"" should not appear after step using keyword then
linha 53: Step ""When I select ""Jeremy Doe"" for ""neighborhoodResidence"" preference"" should not appear after step usi"&amp;"ng keyword then
linha 53: Step ""When I select ""Jeremy Doe"" for ""neighborhoodResidence"" preference"" should use And instead of When
linha 62: Multiple empty lines are not allowed
linha 63: Multiple empty lines are not allowed")</f>
        <v>linha 18: Multiple empty lines are not allowed
linha 19: Multiple empty lines are not allowed
linha 20: Element Scenario too long: actual 40, expected 15
linha 38: Step "When I click the Live in the Neighborhood checkbox" should not appear after step using keyword then
linha 40: Step "When I select "Jonny Doe" for "neighborhoodResidence" preference" should not appear after step using keyword then
linha 50: Step "When I click the Live in the Neighborhood checkbox" should not appear after step using keyword then
linha 52: Step "When I click the Live in the Neighborhood checkbox" should not appear after step using keyword then
linha 53: Step "When I select "Jeremy Doe" for "neighborhoodResidence" preference" should not appear after step using keyword then
linha 53: Step "When I select "Jeremy Doe" for "neighborhoodResidence" preference" should use And instead of When
linha 62: Multiple empty lines are not allowed
linha 63: Multiple empty lines are not allowed</v>
      </c>
      <c r="H88" s="20">
        <f>IFERROR(__xludf.DUMMYFUNCTION("IF(G88="""", 0, COUNTA(SPLIT(G88, CHAR(10))))"),11.0)</f>
        <v>11</v>
      </c>
      <c r="I88" s="11" t="s">
        <v>703</v>
      </c>
      <c r="J88" s="20">
        <f>IFERROR(__xludf.DUMMYFUNCTION("IF(I88="""", 0, COUNTA(SPLIT(I88, CHAR(10))))"),17.0)</f>
        <v>17</v>
      </c>
      <c r="K88" s="11" t="str">
        <f>IFERROR(__xludf.DUMMYFUNCTION("IFERROR(
   IF(
     COUNTA(FILTER(SPLIT(I88, CHAR(10)), NOT(REGEXMATCH(SPLIT(I88, CHAR(10)), "" name is too long"")))) = 0,
     """",
     JOIN(CHAR(10), FILTER(SPLIT(I88, CHAR(10)), NOT(REGEXMATCH(SPLIT(I88, CHAR(10)), "" name is too long""))))
   ),
 "&amp;"  """"
)"),"linha 20: Element Scenario too long: actual 40, expected 15
linha 38: Step ""When I click the Live in the Neighborhood checkbox"" should not appear after step using keyword then
linha 40: Step ""When I select ""Jonny Doe"" for ""neighborhoodResidence"" pr"&amp;"eference"" should not appear after step using keyword then
linha 50: Step ""When I click the Live in the Neighborhood checkbox"" should not appear after step using keyword then
linha 52: Step ""When I click the Live in the Neighborhood checkbox"" should n"&amp;"ot appear after step using keyword then
linha 53: Step ""When I select ""Jeremy Doe"" for ""neighborhoodResidence"" preference"" should not appear after step using keyword then
linha 53: Step ""When I select ""Jeremy Doe"" for ""neighborhoodResidence"" pr"&amp;"eference"" should use And instead of When")</f>
        <v>linha 20: Element Scenario too long: actual 40, expected 15
linha 38: Step "When I click the Live in the Neighborhood checkbox" should not appear after step using keyword then
linha 40: Step "When I select "Jonny Doe" for "neighborhoodResidence" preference" should not appear after step using keyword then
linha 50: Step "When I click the Live in the Neighborhood checkbox" should not appear after step using keyword then
linha 52: Step "When I click the Live in the Neighborhood checkbox" should not appear after step using keyword then
linha 53: Step "When I select "Jeremy Doe" for "neighborhoodResidence" preference" should not appear after step using keyword then
linha 53: Step "When I select "Jeremy Doe" for "neighborhoodResidence" preference" should use And instead of When</v>
      </c>
      <c r="L88" s="20">
        <f>IFERROR(__xludf.DUMMYFUNCTION("IF(K88="""", 0, COUNTA(SPLIT(K88, CHAR(10))))"),7.0)</f>
        <v>7</v>
      </c>
    </row>
    <row r="89">
      <c r="A89" s="18" t="s">
        <v>160</v>
      </c>
      <c r="B89" s="18" t="s">
        <v>148</v>
      </c>
      <c r="C89" s="18" t="s">
        <v>704</v>
      </c>
      <c r="D89" s="19">
        <v>248.0</v>
      </c>
      <c r="E89" s="11" t="s">
        <v>705</v>
      </c>
      <c r="F89" s="20">
        <f>IFERROR(__xludf.DUMMYFUNCTION("IF(E89="""", 0, COUNTA(SPLIT(E89, CHAR(10))))"),75.0)</f>
        <v>75</v>
      </c>
      <c r="G89" s="11" t="str">
        <f>IFERROR(__xludf.DUMMYFUNCTION("IFERROR(
   IF(
     COUNTA(FILTER(SPLIT(E89, CHAR(10)), NOT(REGEXMATCH(SPLIT(E89, CHAR(10)), "" name is too long"")))) = 0,
     """",
     JOIN(CHAR(10), FILTER(SPLIT(E89, CHAR(10)), NOT(REGEXMATCH(SPLIT(E89, CHAR(10)), "" name is too long""))))
   ),
 "&amp;"  """"
)"),"linha 7: Multiple empty lines are not allowed
linha 8: Multiple empty lines are not allowed
linha 9: Element Scenario too long: actual 21, expected 15
linha 13: Step ""When I wait ""1"" seconds"" should not appear after step using keyword then
linha 19: S"&amp;"tep ""When I choose to reconcile my application details by creating a new account"" should not appear after step using keyword then
linha 22: Step ""When I create an account for ""Octavia Butler"""" should not appear after step using keyword then
linha 25"&amp;": Step ""When I wait ""1"" seconds"" should not appear after step using keyword then
linha 25: Step ""When I wait ""1"" seconds"" should use And instead of When
linha 32: Multiple empty lines are not allowed
linha 33: Multiple empty lines are not allowed
"&amp;"linha 41: Step ""When I choose to reconcile my application details by continuing without an account"" should not appear after step using keyword then
linha 44: Multiple empty lines are not allowed
linha 45: Multiple empty lines are not allowed
linha 50: S"&amp;"tep ""When I sign in as ""Alice Walker"" with my email pre-filled"" should not appear after step using keyword then
linha 55: Step ""When I go to the ""My Applications"" page"" should not appear after step using keyword then
linha 59: Multiple empty lines"&amp;" are not allowed
linha 60: Multiple empty lines are not allowed
linha 67: Step ""Then I hit the Next button ""1"" time"" should use And instead of Then
linha 72: Multiple empty lines are not allowed
linha 73: Multiple empty lines are not allowed
linha 79:"&amp;" Step ""When I choose to continue my saved draft"" should not appear after step using keyword then
linha 84: Multiple empty lines are not allowed
linha 85: Multiple empty lines are not allowed
linha 92: Step ""Then I should be on the ""Name"" page of the "&amp;"application"" should use And instead of Then
linha 93: Step ""When I submit the Name page with my account info"" should not appear after step using keyword then
linha 97: Multiple empty lines are not allowed
linha 98: Multiple empty lines are not allowed
"&amp;"linha 107: Step ""When I select my original application and submit"" should not appear after step using keyword then
linha 111: Multiple empty lines are not allowed
linha 112: Multiple empty lines are not allowed
linha 119: Step ""When I sign in as ""Alic"&amp;"e Walker"" with my email pre-filled"" should use And instead of When
linha 126: Multiple empty lines are not allowed
linha 127: Multiple empty lines are not allowed
linha 128: Element Scenario too long: actual 36, expected 15
linha 148: Step ""When I crea"&amp;"te an account for ""Alice Walker"""" should not appear after step using keyword then
linha 150: Step ""When I create an account for ""Harper Lee"""" should not appear after step using keyword then
linha 160: Step ""When I hit the Next button ""1"" time"" "&amp;"should not appear after step using keyword then
linha 166: Multiple empty lines are not allowed
linha 167: Multiple empty lines are not allowed
linha 168: Element Scenario too long: actual 41, expected 15
linha 188: Step ""When I select my recent applicat"&amp;"ion and submit"" should not appear after step using keyword then
linha 190: Step ""When I choose to reconcile my application details by changing them to match my account details"" should not appear after step using keyword then
linha 194: Step ""When I na"&amp;"vigate to the ""You"" section"" should not appear after step using keyword then
linha 196: Step ""When I hit the Next button ""2"" times"" should not appear after step using keyword then
linha 200: Step ""When I opt out of ""Assisted Housing"" preference"&amp;""" should not appear after step using keyword then
linha 211: Multiple empty lines are not allowed
linha 212: Multiple empty lines are not allowed
linha 222: Multiple empty lines are not allowed
linha 223: Multiple empty lines are not allowed")</f>
        <v>linha 7: Multiple empty lines are not allowed
linha 8: Multiple empty lines are not allowed
linha 9: Element Scenario too long: actual 21, expected 15
linha 13: Step "When I wait "1" seconds" should not appear after step using keyword then
linha 19: Step "When I choose to reconcile my application details by creating a new account" should not appear after step using keyword then
linha 22: Step "When I create an account for "Octavia Butler"" should not appear after step using keyword then
linha 25: Step "When I wait "1" seconds" should not appear after step using keyword then
linha 25: Step "When I wait "1" seconds" should use And instead of When
linha 32: Multiple empty lines are not allowed
linha 33: Multiple empty lines are not allowed
linha 41: Step "When I choose to reconcile my application details by continuing without an account" should not appear after step using keyword then
linha 44: Multiple empty lines are not allowed
linha 45: Multiple empty lines are not allowed
linha 50: Step "When I sign in as "Alice Walker" with my email pre-filled" should not appear after step using keyword then
linha 55: Step "When I go to the "My Applications" page" should not appear after step using keyword then
linha 59: Multiple empty lines are not allowed
linha 60: Multiple empty lines are not allowed
linha 67: Step "Then I hit the Next button "1" time" should use And instead of Then
linha 72: Multiple empty lines are not allowed
linha 73: Multiple empty lines are not allowed
linha 79: Step "When I choose to continue my saved draft" should not appear after step using keyword then
linha 84: Multiple empty lines are not allowed
linha 85: Multiple empty lines are not allowed
linha 92: Step "Then I should be on the "Name" page of the application" should use And instead of Then
linha 93: Step "When I submit the Name page with my account info" should not appear after step using keyword then
linha 97: Multiple empty lines are not allowed
linha 98: Multiple empty lines are not allowed
linha 107: Step "When I select my original application and submit" should not appear after step using keyword then
linha 111: Multiple empty lines are not allowed
linha 112: Multiple empty lines are not allowed
linha 119: Step "When I sign in as "Alice Walker" with my email pre-filled" should use And instead of When
linha 126: Multiple empty lines are not allowed
linha 127: Multiple empty lines are not allowed
linha 128: Element Scenario too long: actual 36, expected 15
linha 148: Step "When I create an account for "Alice Walker"" should not appear after step using keyword then
linha 150: Step "When I create an account for "Harper Lee"" should not appear after step using keyword then
linha 160: Step "When I hit the Next button "1" time" should not appear after step using keyword then
linha 166: Multiple empty lines are not allowed
linha 167: Multiple empty lines are not allowed
linha 168: Element Scenario too long: actual 41, expected 15
linha 188: Step "When I select my recent application and submit" should not appear after step using keyword then
linha 190: Step "When I choose to reconcile my application details by changing them to match my account details" should not appear after step using keyword then
linha 194: Step "When I navigate to the "You" section" should not appear after step using keyword then
linha 196: Step "When I hit the Next button "2" times" should not appear after step using keyword then
linha 200: Step "When I opt out of "Assisted Housing" preference" should not appear after step using keyword then
linha 211: Multiple empty lines are not allowed
linha 212: Multiple empty lines are not allowed
linha 222: Multiple empty lines are not allowed
linha 223: Multiple empty lines are not allowed</v>
      </c>
      <c r="H89" s="20">
        <f>IFERROR(__xludf.DUMMYFUNCTION("IF(G89="""", 0, COUNTA(SPLIT(G89, CHAR(10))))"),49.0)</f>
        <v>49</v>
      </c>
      <c r="I89" s="11" t="s">
        <v>706</v>
      </c>
      <c r="J89" s="20">
        <f>IFERROR(__xludf.DUMMYFUNCTION("IF(I89="""", 0, COUNTA(SPLIT(I89, CHAR(10))))"),51.0)</f>
        <v>51</v>
      </c>
      <c r="K89" s="11" t="str">
        <f>IFERROR(__xludf.DUMMYFUNCTION("IFERROR(
   IF(
     COUNTA(FILTER(SPLIT(I89, CHAR(10)), NOT(REGEXMATCH(SPLIT(I89, CHAR(10)), "" name is too long"")))) = 0,
     """",
     JOIN(CHAR(10), FILTER(SPLIT(I89, CHAR(10)), NOT(REGEXMATCH(SPLIT(I89, CHAR(10)), "" name is too long""))))
   ),
 "&amp;"  """"
)"),"linha 9: Element Scenario too long: actual 21, expected 15
linha 13: Step ""When I wait ""1"" seconds"" should not appear after step using keyword then
linha 19: Step ""When I choose to reconcile my application details by creating a new account"" should n"&amp;"ot appear after step using keyword then
linha 22: Step ""When I create an account for ""Octavia Butler"""" should not appear after step using keyword then
linha 25: Step ""When I wait ""1"" seconds"" should not appear after step using keyword then
linha 2"&amp;"5: Step ""When I wait ""1"" seconds"" should use And instead of When
linha 41: Step ""When I choose to reconcile my application details by continuing without an account"" should not appear after step using keyword then
linha 50: Step ""When I sign in as "&amp;"""Alice Walker"" with my email pre-filled"" should not appear after step using keyword then
linha 55: Step ""When I go to the ""My Applications"" page"" should not appear after step using keyword then
linha 67: Step ""Then I hit the Next button ""1"" time"&amp;""" should use And instead of Then
linha 79: Step ""When I choose to continue my saved draft"" should not appear after step using keyword then
linha 92: Step ""Then I should be on the ""Name"" page of the application"" should use And instead of Then
linha "&amp;"93: Step ""When I submit the Name page with my account info"" should not appear after step using keyword then
linha 107: Step ""When I select my original application and submit"" should not appear after step using keyword then
linha 119: Step ""When I sig"&amp;"n in as ""Alice Walker"" with my email pre-filled"" should use And instead of When
linha 128: Element Scenario too long: actual 36, expected 15
linha 148: Step ""When I create an account for ""Alice Walker"""" should not appear after step using keyword th"&amp;"en
linha 150: Step ""When I create an account for ""Harper Lee"""" should not appear after step using keyword then
linha 160: Step ""When I hit the Next button ""1"" time"" should not appear after step using keyword then
linha 168: Element Scenario too lo"&amp;"ng: actual 41, expected 15
linha 188: Step ""When I select my recent application and submit"" should not appear after step using keyword then
linha 190: Step ""When I choose to reconcile my application details by changing them to match my account details"&amp;""" should not appear after step using keyword then
linha 194: Step ""When I navigate to the ""You"" section"" should not appear after step using keyword then
linha 196: Step ""When I hit the Next button ""2"" times"" should not appear after step using key"&amp;"word then
linha 200: Step ""When I opt out of ""Assisted Housing"" preference"" should not appear after step using keyword then")</f>
        <v>linha 9: Element Scenario too long: actual 21, expected 15
linha 13: Step "When I wait "1" seconds" should not appear after step using keyword then
linha 19: Step "When I choose to reconcile my application details by creating a new account" should not appear after step using keyword then
linha 22: Step "When I create an account for "Octavia Butler"" should not appear after step using keyword then
linha 25: Step "When I wait "1" seconds" should not appear after step using keyword then
linha 25: Step "When I wait "1" seconds" should use And instead of When
linha 41: Step "When I choose to reconcile my application details by continuing without an account" should not appear after step using keyword then
linha 50: Step "When I sign in as "Alice Walker" with my email pre-filled" should not appear after step using keyword then
linha 55: Step "When I go to the "My Applications" page" should not appear after step using keyword then
linha 67: Step "Then I hit the Next button "1" time" should use And instead of Then
linha 79: Step "When I choose to continue my saved draft" should not appear after step using keyword then
linha 92: Step "Then I should be on the "Name" page of the application" should use And instead of Then
linha 93: Step "When I submit the Name page with my account info" should not appear after step using keyword then
linha 107: Step "When I select my original application and submit" should not appear after step using keyword then
linha 119: Step "When I sign in as "Alice Walker" with my email pre-filled" should use And instead of When
linha 128: Element Scenario too long: actual 36, expected 15
linha 148: Step "When I create an account for "Alice Walker"" should not appear after step using keyword then
linha 150: Step "When I create an account for "Harper Lee"" should not appear after step using keyword then
linha 160: Step "When I hit the Next button "1" time" should not appear after step using keyword then
linha 168: Element Scenario too long: actual 41, expected 15
linha 188: Step "When I select my recent application and submit" should not appear after step using keyword then
linha 190: Step "When I choose to reconcile my application details by changing them to match my account details" should not appear after step using keyword then
linha 194: Step "When I navigate to the "You" section" should not appear after step using keyword then
linha 196: Step "When I hit the Next button "2" times" should not appear after step using keyword then
linha 200: Step "When I opt out of "Assisted Housing" preference" should not appear after step using keyword then</v>
      </c>
      <c r="L89" s="20">
        <f>IFERROR(__xludf.DUMMYFUNCTION("IF(K89="""", 0, COUNTA(SPLIT(K89, CHAR(10))))"),25.0)</f>
        <v>25</v>
      </c>
    </row>
    <row r="90">
      <c r="A90" s="18" t="s">
        <v>400</v>
      </c>
      <c r="B90" s="18" t="s">
        <v>401</v>
      </c>
      <c r="C90" s="18" t="s">
        <v>707</v>
      </c>
      <c r="D90" s="19">
        <v>42.0</v>
      </c>
      <c r="E90" s="11" t="s">
        <v>708</v>
      </c>
      <c r="F90" s="20">
        <f>IFERROR(__xludf.DUMMYFUNCTION("IF(E90="""", 0, COUNTA(SPLIT(E90, CHAR(10))))"),13.0)</f>
        <v>13</v>
      </c>
      <c r="G90" s="11" t="str">
        <f>IFERROR(__xludf.DUMMYFUNCTION("IFERROR(
   IF(
     COUNTA(FILTER(SPLIT(E90, CHAR(10)), NOT(REGEXMATCH(SPLIT(E90, CHAR(10)), "" name is too long"")))) = 0,
     """",
     JOIN(CHAR(10), FILTER(SPLIT(E90, CHAR(10)), NOT(REGEXMATCH(SPLIT(E90, CHAR(10)), "" name is too long""))))
   ),
 "&amp;"  """"
)"),"linha 3: Element Scenario too long: actual 16, expected 15
linha 9: Step ""When I follow ""Edit message"""" should not appear after step using keyword then
linha 11: Step ""When I send keys ""This is a new line to welcome email"" to editor"" should not ap"&amp;"pear after step using keyword then
linha 14: Step ""When I refresh the page"" should not appear after step using keyword then
linha 16: Step ""When I follow ""Send test message"""" should not appear after step using keyword then
linha 19: Step ""When I op"&amp;"en the email"" should not appear after step using keyword then
linha 22: Multiple empty lines are not allowed
linha 23: Multiple empty lines are not allowed
linha 34: Step ""When I follow ""change sender email"""" should not appear after step using keywor"&amp;"d then
linha 40: Multiple empty lines are not allowed
linha 41: Multiple empty lines are not allowed")</f>
        <v>linha 3: Element Scenario too long: actual 16, expected 15
linha 9: Step "When I follow "Edit message"" should not appear after step using keyword then
linha 11: Step "When I send keys "This is a new line to welcome email" to editor" should not appear after step using keyword then
linha 14: Step "When I refresh the page" should not appear after step using keyword then
linha 16: Step "When I follow "Send test message"" should not appear after step using keyword then
linha 19: Step "When I open the email" should not appear after step using keyword then
linha 22: Multiple empty lines are not allowed
linha 23: Multiple empty lines are not allowed
linha 34: Step "When I follow "change sender email"" should not appear after step using keyword then
linha 40: Multiple empty lines are not allowed
linha 41: Multiple empty lines are not allowed</v>
      </c>
      <c r="H90" s="20">
        <f>IFERROR(__xludf.DUMMYFUNCTION("IF(G90="""", 0, COUNTA(SPLIT(G90, CHAR(10))))"),11.0)</f>
        <v>11</v>
      </c>
      <c r="I90" s="11" t="s">
        <v>709</v>
      </c>
      <c r="J90" s="20">
        <f>IFERROR(__xludf.DUMMYFUNCTION("IF(I90="""", 0, COUNTA(SPLIT(I90, CHAR(10))))"),9.0)</f>
        <v>9</v>
      </c>
      <c r="K90" s="11" t="str">
        <f>IFERROR(__xludf.DUMMYFUNCTION("IFERROR(
   IF(
     COUNTA(FILTER(SPLIT(I90, CHAR(10)), NOT(REGEXMATCH(SPLIT(I90, CHAR(10)), "" name is too long"")))) = 0,
     """",
     JOIN(CHAR(10), FILTER(SPLIT(I90, CHAR(10)), NOT(REGEXMATCH(SPLIT(I90, CHAR(10)), "" name is too long""))))
   ),
 "&amp;"  """"
)"),"linha 3: Element Scenario too long: actual 16, expected 15
linha 9: Step ""When I follow ""Edit message"""" should not appear after step using keyword then
linha 11: Step ""When I send keys ""This is a new line to welcome email"" to editor"" should not ap"&amp;"pear after step using keyword then
linha 14: Step ""When I refresh the page"" should not appear after step using keyword then
linha 16: Step ""When I follow ""Send test message"""" should not appear after step using keyword then
linha 19: Step ""When I op"&amp;"en the email"" should not appear after step using keyword then
linha 34: Step ""When I follow ""change sender email"""" should not appear after step using keyword then")</f>
        <v>linha 3: Element Scenario too long: actual 16, expected 15
linha 9: Step "When I follow "Edit message"" should not appear after step using keyword then
linha 11: Step "When I send keys "This is a new line to welcome email" to editor" should not appear after step using keyword then
linha 14: Step "When I refresh the page" should not appear after step using keyword then
linha 16: Step "When I follow "Send test message"" should not appear after step using keyword then
linha 19: Step "When I open the email" should not appear after step using keyword then
linha 34: Step "When I follow "change sender email"" should not appear after step using keyword then</v>
      </c>
      <c r="L90" s="20">
        <f>IFERROR(__xludf.DUMMYFUNCTION("IF(K90="""", 0, COUNTA(SPLIT(K90, CHAR(10))))"),7.0)</f>
        <v>7</v>
      </c>
    </row>
    <row r="91">
      <c r="A91" s="18" t="s">
        <v>405</v>
      </c>
      <c r="B91" s="18" t="s">
        <v>401</v>
      </c>
      <c r="C91" s="18" t="s">
        <v>710</v>
      </c>
      <c r="D91" s="19">
        <v>77.0</v>
      </c>
      <c r="E91" s="11" t="s">
        <v>711</v>
      </c>
      <c r="F91" s="20">
        <f>IFERROR(__xludf.DUMMYFUNCTION("IF(E91="""", 0, COUNTA(SPLIT(E91, CHAR(10))))"),31.0)</f>
        <v>31</v>
      </c>
      <c r="G91" s="11" t="str">
        <f>IFERROR(__xludf.DUMMYFUNCTION("IFERROR(
   IF(
     COUNTA(FILTER(SPLIT(E91, CHAR(10)), NOT(REGEXMATCH(SPLIT(E91, CHAR(10)), "" name is too long"")))) = 0,
     """",
     JOIN(CHAR(10), FILTER(SPLIT(E91, CHAR(10)), NOT(REGEXMATCH(SPLIT(E91, CHAR(10)), "" name is too long""))))
   ),
 "&amp;"  """"
)"),"linha 9: Multiple empty lines are not allowed
linha 10: Multiple empty lines are not allowed
linha 18: Multiple empty lines are not allowed
linha 19: Multiple empty lines are not allowed
linha 26: Multiple empty lines are not allowed
linha 27: Multiple em"&amp;"pty lines are not allowed
linha 33: Step ""When I fill in ""q"" with ""ofa"""" should not appear after step using keyword then
linha 37: Multiple empty lines are not allowed
linha 38: Multiple empty lines are not allowed
linha 44: Step ""Then I should see"&amp;" ""light-weigth plastic outdoor sofa"""" should use And instead of Then
linha 45: Step ""When I set search range for numeric filter ""Weight (kg)"" between ""100"" and ""200"""" should not appear after step using keyword then
linha 48: Step ""Then I shoul"&amp;"d not see ""light-weigth plastic outdoor sofa"""" should use And instead of Then
linha 49: Step ""When I fill in ""q"" with ""light-weight"""" should not appear after step using keyword then
linha 53: Multiple empty lines are not allowed
linha 54: Multipl"&amp;"e empty lines are not allowed
linha 60: Step ""Then I should not see ""light-weigth plastic outdoor sofa"""" should use And instead of Then
linha 61: Step ""When I set price range between ""500"" and ""1000"""" should not appear after step using keyword t"&amp;"hen
linha 65: Multiple empty lines are not allowed
linha 66: Multiple empty lines are not allowed
linha 72: Step ""Then I should see ""light-weigth plastic outdoor sofa"""" should use And instead of Then
linha 73: Step ""When I check ""Outdoors"""" should"&amp;" not appear after step using keyword then
linha 76: Step ""Then I should see ""light-weigth plastic outdoor sofa"""" should use And instead of Then
linha 77: Step ""When I check ""Indoors"""" should not appear after step using keyword then
linha 80: Step "&amp;"""Then I should not see ""light-weigth plastic outdoor sofa"""" should use And instead of Then
linha 82: Multiple empty lines are not allowed
linha 83: Multiple empty lines are not allowed")</f>
        <v>linha 9: Multiple empty lines are not allowed
linha 10: Multiple empty lines are not allowed
linha 18: Multiple empty lines are not allowed
linha 19: Multiple empty lines are not allowed
linha 26: Multiple empty lines are not allowed
linha 27: Multiple empty lines are not allowed
linha 33: Step "When I fill in "q" with "ofa"" should not appear after step using keyword then
linha 37: Multiple empty lines are not allowed
linha 38: Multiple empty lines are not allowed
linha 44: Step "Then I should see "light-weigth plastic outdoor sofa"" should use And instead of Then
linha 45: Step "When I set search range for numeric filter "Weight (kg)" between "100" and "200"" should not appear after step using keyword then
linha 48: Step "Then I should not see "light-weigth plastic outdoor sofa"" should use And instead of Then
linha 49: Step "When I fill in "q" with "light-weight"" should not appear after step using keyword then
linha 53: Multiple empty lines are not allowed
linha 54: Multiple empty lines are not allowed
linha 60: Step "Then I should not see "light-weigth plastic outdoor sofa"" should use And instead of Then
linha 61: Step "When I set price range between "500" and "1000"" should not appear after step using keyword then
linha 65: Multiple empty lines are not allowed
linha 66: Multiple empty lines are not allowed
linha 72: Step "Then I should see "light-weigth plastic outdoor sofa"" should use And instead of Then
linha 73: Step "When I check "Outdoors"" should not appear after step using keyword then
linha 76: Step "Then I should see "light-weigth plastic outdoor sofa"" should use And instead of Then
linha 77: Step "When I check "Indoors"" should not appear after step using keyword then
linha 80: Step "Then I should not see "light-weigth plastic outdoor sofa"" should use And instead of Then
linha 82: Multiple empty lines are not allowed
linha 83: Multiple empty lines are not allowed</v>
      </c>
      <c r="H91" s="20">
        <f>IFERROR(__xludf.DUMMYFUNCTION("IF(G91="""", 0, COUNTA(SPLIT(G91, CHAR(10))))"),26.0)</f>
        <v>26</v>
      </c>
      <c r="I91" s="11" t="s">
        <v>712</v>
      </c>
      <c r="J91" s="20">
        <f>IFERROR(__xludf.DUMMYFUNCTION("IF(I91="""", 0, COUNTA(SPLIT(I91, CHAR(10))))"),17.0)</f>
        <v>17</v>
      </c>
      <c r="K91" s="11" t="str">
        <f>IFERROR(__xludf.DUMMYFUNCTION("IFERROR(
   IF(
     COUNTA(FILTER(SPLIT(I91, CHAR(10)), NOT(REGEXMATCH(SPLIT(I91, CHAR(10)), "" name is too long"")))) = 0,
     """",
     JOIN(CHAR(10), FILTER(SPLIT(I91, CHAR(10)), NOT(REGEXMATCH(SPLIT(I91, CHAR(10)), "" name is too long""))))
   ),
 "&amp;"  """"
)"),"linha 33: Step ""When I fill in ""q"" with ""ofa"""" should not appear after step using keyword then
linha 44: Step ""Then I should see ""light-weigth plastic outdoor sofa"""" should use And instead of Then
linha 45: Step ""When I set search range for num"&amp;"eric filter ""Weight (kg)"" between ""100"" and ""200"""" should not appear after step using keyword then
linha 48: Step ""Then I should not see ""light-weigth plastic outdoor sofa"""" should use And instead of Then
linha 49: Step ""When I fill in ""q"" w"&amp;"ith ""light-weight"""" should not appear after step using keyword then
linha 60: Step ""Then I should not see ""light-weigth plastic outdoor sofa"""" should use And instead of Then
linha 61: Step ""When I set price range between ""500"" and ""1000"""" sho"&amp;"uld not appear after step using keyword then
linha 72: Step ""Then I should see ""light-weigth plastic outdoor sofa"""" should use And instead of Then
linha 73: Step ""When I check ""Outdoors"""" should not appear after step using keyword then
linha 76: S"&amp;"tep ""Then I should see ""light-weigth plastic outdoor sofa"""" should use And instead of Then
linha 77: Step ""When I check ""Indoors"""" should not appear after step using keyword then
linha 80: Step ""Then I should not see ""light-weigth plastic outdoo"&amp;"r sofa"""" should use And instead of Then")</f>
        <v>linha 33: Step "When I fill in "q" with "ofa"" should not appear after step using keyword then
linha 44: Step "Then I should see "light-weigth plastic outdoor sofa"" should use And instead of Then
linha 45: Step "When I set search range for numeric filter "Weight (kg)" between "100" and "200"" should not appear after step using keyword then
linha 48: Step "Then I should not see "light-weigth plastic outdoor sofa"" should use And instead of Then
linha 49: Step "When I fill in "q" with "light-weight"" should not appear after step using keyword then
linha 60: Step "Then I should not see "light-weigth plastic outdoor sofa"" should use And instead of Then
linha 61: Step "When I set price range between "500" and "1000"" should not appear after step using keyword then
linha 72: Step "Then I should see "light-weigth plastic outdoor sofa"" should use And instead of Then
linha 73: Step "When I check "Outdoors"" should not appear after step using keyword then
linha 76: Step "Then I should see "light-weigth plastic outdoor sofa"" should use And instead of Then
linha 77: Step "When I check "Indoors"" should not appear after step using keyword then
linha 80: Step "Then I should not see "light-weigth plastic outdoor sofa"" should use And instead of Then</v>
      </c>
      <c r="L91" s="20">
        <f>IFERROR(__xludf.DUMMYFUNCTION("IF(K91="""", 0, COUNTA(SPLIT(K91, CHAR(10))))"),12.0)</f>
        <v>12</v>
      </c>
    </row>
    <row r="92">
      <c r="A92" s="18" t="s">
        <v>409</v>
      </c>
      <c r="B92" s="18" t="s">
        <v>401</v>
      </c>
      <c r="C92" s="18" t="s">
        <v>713</v>
      </c>
      <c r="D92" s="19">
        <v>112.0</v>
      </c>
      <c r="E92" s="11" t="s">
        <v>714</v>
      </c>
      <c r="F92" s="20">
        <f>IFERROR(__xludf.DUMMYFUNCTION("IF(E92="""", 0, COUNTA(SPLIT(E92, CHAR(10))))"),41.0)</f>
        <v>41</v>
      </c>
      <c r="G92" s="11" t="str">
        <f>IFERROR(__xludf.DUMMYFUNCTION("IFERROR(
   IF(
     COUNTA(FILTER(SPLIT(E92, CHAR(10)), NOT(REGEXMATCH(SPLIT(E92, CHAR(10)), "" name is too long"")))) = 0,
     """",
     JOIN(CHAR(10), FILTER(SPLIT(E92, CHAR(10)), NOT(REGEXMATCH(SPLIT(E92, CHAR(10)), "" name is too long""))))
   ),
 "&amp;"  """"
)"),"linha 11: Multiple empty lines are not allowed
linha 12: Multiple empty lines are not allowed
linha 21: Multiple empty lines are not allowed
linha 22: Multiple empty lines are not allowed
linha 23: Element Scenario too long: actual 35, expected 15
linha 2"&amp;"7: Step ""Given there is a message ""Reply to massage"" from ""kassi_testperson2"" about that listing"" should not appear after step using keyword then
linha 28: Step ""When I refresh the page"" should not appear after step using keyword then
linha 30: St"&amp;"ep ""Given there is a message ""Another test"" from ""kassi_testperson3"" about that listing"" should not appear after step using keyword then
linha 31: Step ""When I refresh the page"" should not appear after step using keyword then
linha 33: Step ""Give"&amp;"n there is a reply ""great"" to that message by ""kassi_testperson1"""" should not appear after step using keyword then
linha 34: Step ""When I refresh the page"" should not appear after step using keyword then
linha 36: Step ""Given there is a listing wi"&amp;"th title ""Apartment"" from ""kassi_testperson2"" with category ""Spaces"" and with listing shape ""Selling"""" should not appear after step using keyword then
linha 42: Step ""When I refresh the page"" should not appear after step using keyword then
linh"&amp;"a 45: Step ""When I refresh the page"" should not appear after step using keyword then
linha 47: Step ""When I follow inbox link"" should not appear after step using keyword then
linha 60: Multiple empty lines are not allowed
linha 61: Multiple empty line"&amp;"s are not allowed
linha 62: Element Scenario too long: actual 20, expected 15
linha 84: Multiple empty lines are not allowed
linha 85: Multiple empty lines are not allowed
linha 92: Multiple empty lines are not allowed
linha 93: Multiple empty lines are n"&amp;"ot allowed")</f>
        <v>linha 11: Multiple empty lines are not allowed
linha 12: Multiple empty lines are not allowed
linha 21: Multiple empty lines are not allowed
linha 22: Multiple empty lines are not allowed
linha 23: Element Scenario too long: actual 35, expected 15
linha 27: Step "Given there is a message "Reply to massage" from "kassi_testperson2" about that listing" should not appear after step using keyword then
linha 28: Step "When I refresh the page" should not appear after step using keyword then
linha 30: Step "Given there is a message "Another test" from "kassi_testperson3" about that listing" should not appear after step using keyword then
linha 31: Step "When I refresh the page" should not appear after step using keyword then
linha 33: Step "Given there is a reply "great" to that message by "kassi_testperson1"" should not appear after step using keyword then
linha 34: Step "When I refresh the page" should not appear after step using keyword then
linha 36: Step "Given there is a listing with title "Apartment" from "kassi_testperson2" with category "Spaces" and with listing shape "Selling"" should not appear after step using keyword then
linha 42: Step "When I refresh the page" should not appear after step using keyword then
linha 45: Step "When I refresh the page" should not appear after step using keyword then
linha 47: Step "When I follow inbox link" should not appear after step using keyword then
linha 60: Multiple empty lines are not allowed
linha 61: Multiple empty lines are not allowed
linha 62: Element Scenario too long: actual 20, expected 15
linha 84: Multiple empty lines are not allowed
linha 85: Multiple empty lines are not allowed
linha 92: Multiple empty lines are not allowed
linha 93: Multiple empty lines are not allowed</v>
      </c>
      <c r="H92" s="20">
        <f>IFERROR(__xludf.DUMMYFUNCTION("IF(G92="""", 0, COUNTA(SPLIT(G92, CHAR(10))))"),22.0)</f>
        <v>22</v>
      </c>
      <c r="I92" s="11" t="s">
        <v>715</v>
      </c>
      <c r="J92" s="20">
        <f>IFERROR(__xludf.DUMMYFUNCTION("IF(I92="""", 0, COUNTA(SPLIT(I92, CHAR(10))))"),31.0)</f>
        <v>31</v>
      </c>
      <c r="K92" s="11" t="str">
        <f>IFERROR(__xludf.DUMMYFUNCTION("IFERROR(
   IF(
     COUNTA(FILTER(SPLIT(I92, CHAR(10)), NOT(REGEXMATCH(SPLIT(I92, CHAR(10)), "" name is too long"")))) = 0,
     """",
     JOIN(CHAR(10), FILTER(SPLIT(I92, CHAR(10)), NOT(REGEXMATCH(SPLIT(I92, CHAR(10)), "" name is too long""))))
   ),
 "&amp;"  """"
)"),"linha 23: Element Scenario too long: actual 35, expected 15
linha 27: Step ""Given there is a message ""Reply to massage"" from ""kassi_testperson2"" about that listing"" should not appear after step using keyword then
linha 28: Step ""When I refresh the "&amp;"page"" should not appear after step using keyword then
linha 30: Step ""Given there is a message ""Another test"" from ""kassi_testperson3"" about that listing"" should not appear after step using keyword then
linha 31: Step ""When I refresh the page"" sh"&amp;"ould not appear after step using keyword then
linha 33: Step ""Given there is a reply ""great"" to that message by ""kassi_testperson1"""" should not appear after step using keyword then
linha 34: Step ""When I refresh the page"" should not appear after s"&amp;"tep using keyword then
linha 36: Step ""Given there is a listing with title ""Apartment"" from ""kassi_testperson2"" with category ""Spaces"" and with listing shape ""Selling"""" should not appear after step using keyword then
linha 42: Step ""When I refr"&amp;"esh the page"" should not appear after step using keyword then
linha 45: Step ""When I refresh the page"" should not appear after step using keyword then
linha 47: Step ""When I follow inbox link"" should not appear after step using keyword then
linha 62:"&amp;" Element Scenario too long: actual 20, expected 15")</f>
        <v>linha 23: Element Scenario too long: actual 35, expected 15
linha 27: Step "Given there is a message "Reply to massage" from "kassi_testperson2" about that listing" should not appear after step using keyword then
linha 28: Step "When I refresh the page" should not appear after step using keyword then
linha 30: Step "Given there is a message "Another test" from "kassi_testperson3" about that listing" should not appear after step using keyword then
linha 31: Step "When I refresh the page" should not appear after step using keyword then
linha 33: Step "Given there is a reply "great" to that message by "kassi_testperson1"" should not appear after step using keyword then
linha 34: Step "When I refresh the page" should not appear after step using keyword then
linha 36: Step "Given there is a listing with title "Apartment" from "kassi_testperson2" with category "Spaces" and with listing shape "Selling"" should not appear after step using keyword then
linha 42: Step "When I refresh the page" should not appear after step using keyword then
linha 45: Step "When I refresh the page" should not appear after step using keyword then
linha 47: Step "When I follow inbox link" should not appear after step using keyword then
linha 62: Element Scenario too long: actual 20, expected 15</v>
      </c>
      <c r="L92" s="20">
        <f>IFERROR(__xludf.DUMMYFUNCTION("IF(K92="""", 0, COUNTA(SPLIT(K92, CHAR(10))))"),12.0)</f>
        <v>12</v>
      </c>
    </row>
    <row r="93">
      <c r="A93" s="18" t="s">
        <v>413</v>
      </c>
      <c r="B93" s="18" t="s">
        <v>401</v>
      </c>
      <c r="C93" s="18" t="s">
        <v>716</v>
      </c>
      <c r="D93" s="19">
        <v>109.0</v>
      </c>
      <c r="E93" s="11" t="s">
        <v>717</v>
      </c>
      <c r="F93" s="20">
        <f>IFERROR(__xludf.DUMMYFUNCTION("IF(E93="""", 0, COUNTA(SPLIT(E93, CHAR(10))))"),21.0)</f>
        <v>21</v>
      </c>
      <c r="G93" s="11" t="str">
        <f>IFERROR(__xludf.DUMMYFUNCTION("IFERROR(
   IF(
     COUNTA(FILTER(SPLIT(E93, CHAR(10)), NOT(REGEXMATCH(SPLIT(E93, CHAR(10)), "" name is too long"")))) = 0,
     """",
     JOIN(CHAR(10), FILTER(SPLIT(E93, CHAR(10)), NOT(REGEXMATCH(SPLIT(E93, CHAR(10)), "" name is too long""))))
   ),
 "&amp;"  """"
)"),"linha 3: Element Scenario too long: actual 50, expected 15
linha 11: Step ""When I check ""house"""" should not appear after step using keyword then
linha 17: Step ""When I uncheck ""condo"""" should not appear after step using keyword then
linha 25: Step"&amp;" ""Then I should not see ""Apartment"""" should use And instead of Then
linha 29: Step ""When I uncheck ""house"""" should not appear after step using keyword then
linha 35: Step ""When I check ""glazed"""" should not appear after step using keyword then
"&amp;"linha 41: Step ""When I check ""house"""" should not appear after step using keyword then
linha 47: Step ""When I uncheck ""house"""" should not appear after step using keyword then
linha 56: Multiple empty lines are not allowed
linha 57: Multiple empty l"&amp;"ines are not allowed
linha 58: Element Scenario too long: actual 38, expected 15
linha 67: Step ""When I follow ""Spaces"""" should not appear after step using keyword then
linha 71: Step ""When I fill in ""q"" with ""house"""" should not appear after ste"&amp;"p using keyword then
linha 76: Step ""When I follow ""All categories"""" should not appear after step using keyword then
linha 80: Step ""When I check ""open"""" should not appear after step using keyword then
linha 85: Step ""When I fill in ""q"" with """&amp;""""" should not appear after step using keyword then
linha 91: Step ""When I uncheck ""open"""" should not appear after step using keyword then
linha 99: Multiple empty lines are not allowed
linha 100: Multiple empty lines are not allowed")</f>
        <v>linha 3: Element Scenario too long: actual 50, expected 15
linha 11: Step "When I check "house"" should not appear after step using keyword then
linha 17: Step "When I uncheck "condo"" should not appear after step using keyword then
linha 25: Step "Then I should not see "Apartment"" should use And instead of Then
linha 29: Step "When I uncheck "house"" should not appear after step using keyword then
linha 35: Step "When I check "glazed"" should not appear after step using keyword then
linha 41: Step "When I check "house"" should not appear after step using keyword then
linha 47: Step "When I uncheck "house"" should not appear after step using keyword then
linha 56: Multiple empty lines are not allowed
linha 57: Multiple empty lines are not allowed
linha 58: Element Scenario too long: actual 38, expected 15
linha 67: Step "When I follow "Spaces"" should not appear after step using keyword then
linha 71: Step "When I fill in "q" with "house"" should not appear after step using keyword then
linha 76: Step "When I follow "All categories"" should not appear after step using keyword then
linha 80: Step "When I check "open"" should not appear after step using keyword then
linha 85: Step "When I fill in "q" with """ should not appear after step using keyword then
linha 91: Step "When I uncheck "open"" should not appear after step using keyword then
linha 99: Multiple empty lines are not allowed
linha 100: Multiple empty lines are not allowed</v>
      </c>
      <c r="H93" s="20">
        <f>IFERROR(__xludf.DUMMYFUNCTION("IF(G93="""", 0, COUNTA(SPLIT(G93, CHAR(10))))"),19.0)</f>
        <v>19</v>
      </c>
      <c r="I93" s="11" t="s">
        <v>718</v>
      </c>
      <c r="J93" s="20">
        <f>IFERROR(__xludf.DUMMYFUNCTION("IF(I93="""", 0, COUNTA(SPLIT(I93, CHAR(10))))"),17.0)</f>
        <v>17</v>
      </c>
      <c r="K93" s="11" t="str">
        <f>IFERROR(__xludf.DUMMYFUNCTION("IFERROR(
   IF(
     COUNTA(FILTER(SPLIT(I93, CHAR(10)), NOT(REGEXMATCH(SPLIT(I93, CHAR(10)), "" name is too long"")))) = 0,
     """",
     JOIN(CHAR(10), FILTER(SPLIT(I93, CHAR(10)), NOT(REGEXMATCH(SPLIT(I93, CHAR(10)), "" name is too long""))))
   ),
 "&amp;"  """"
)"),"linha 3: Element Scenario too long: actual 50, expected 15
linha 11: Step ""When I check ""house"""" should not appear after step using keyword then
linha 17: Step ""When I uncheck ""condo"""" should not appear after step using keyword then
linha 25: Step"&amp;" ""Then I should not see ""Apartment"""" should use And instead of Then
linha 29: Step ""When I uncheck ""house"""" should not appear after step using keyword then
linha 35: Step ""When I check ""glazed"""" should not appear after step using keyword then
"&amp;"linha 41: Step ""When I check ""house"""" should not appear after step using keyword then
linha 47: Step ""When I uncheck ""house"""" should not appear after step using keyword then
linha 58: Element Scenario too long: actual 38, expected 15
linha 67: Ste"&amp;"p ""When I follow ""Spaces"""" should not appear after step using keyword then
linha 71: Step ""When I fill in ""q"" with ""house"""" should not appear after step using keyword then
linha 76: Step ""When I follow ""All categories"""" should not appear aft"&amp;"er step using keyword then
linha 80: Step ""When I check ""open"""" should not appear after step using keyword then
linha 85: Step ""When I fill in ""q"" with """""" should not appear after step using keyword then
linha 91: Step ""When I uncheck ""open"""&amp;""" should not appear after step using keyword then")</f>
        <v>linha 3: Element Scenario too long: actual 50, expected 15
linha 11: Step "When I check "house"" should not appear after step using keyword then
linha 17: Step "When I uncheck "condo"" should not appear after step using keyword then
linha 25: Step "Then I should not see "Apartment"" should use And instead of Then
linha 29: Step "When I uncheck "house"" should not appear after step using keyword then
linha 35: Step "When I check "glazed"" should not appear after step using keyword then
linha 41: Step "When I check "house"" should not appear after step using keyword then
linha 47: Step "When I uncheck "house"" should not appear after step using keyword then
linha 58: Element Scenario too long: actual 38, expected 15
linha 67: Step "When I follow "Spaces"" should not appear after step using keyword then
linha 71: Step "When I fill in "q" with "house"" should not appear after step using keyword then
linha 76: Step "When I follow "All categories"" should not appear after step using keyword then
linha 80: Step "When I check "open"" should not appear after step using keyword then
linha 85: Step "When I fill in "q" with """ should not appear after step using keyword then
linha 91: Step "When I uncheck "open"" should not appear after step using keyword then</v>
      </c>
      <c r="L93" s="20">
        <f>IFERROR(__xludf.DUMMYFUNCTION("IF(K93="""", 0, COUNTA(SPLIT(K93, CHAR(10))))"),15.0)</f>
        <v>15</v>
      </c>
    </row>
    <row r="94">
      <c r="A94" s="18" t="s">
        <v>164</v>
      </c>
      <c r="B94" s="18" t="s">
        <v>165</v>
      </c>
      <c r="C94" s="18" t="s">
        <v>719</v>
      </c>
      <c r="D94" s="19">
        <v>50.0</v>
      </c>
      <c r="E94" s="11" t="s">
        <v>720</v>
      </c>
      <c r="F94" s="20">
        <f>IFERROR(__xludf.DUMMYFUNCTION("IF(E94="""", 0, COUNTA(SPLIT(E94, CHAR(10))))"),18.0)</f>
        <v>18</v>
      </c>
      <c r="G94" s="11" t="str">
        <f>IFERROR(__xludf.DUMMYFUNCTION("IFERROR(
   IF(
     COUNTA(FILTER(SPLIT(E94, CHAR(10)), NOT(REGEXMATCH(SPLIT(E94, CHAR(10)), "" name is too long"")))) = 0,
     """",
     JOIN(CHAR(10), FILTER(SPLIT(E94, CHAR(10)), NOT(REGEXMATCH(SPLIT(E94, CHAR(10)), "" name is too long""))))
   ),
 "&amp;"  """"
)"),"linha 13: Multiple empty lines are not allowed
linha 14: Multiple empty lines are not allowed
linha 26: Multiple empty lines are not allowed
linha 27: Multiple empty lines are not allowed
linha 40: Multiple empty lines are not allowed
linha 41: Multiple e"&amp;"mpty lines are not allowed
linha 53: Multiple empty lines are not allowed
linha 54: Multiple empty lines are not allowed")</f>
        <v>linha 13: Multiple empty lines are not allowed
linha 14: Multiple empty lines are not allowed
linha 26: Multiple empty lines are not allowed
linha 27: Multiple empty lines are not allowed
linha 40: Multiple empty lines are not allowed
linha 41: Multiple empty lines are not allowed
linha 53: Multiple empty lines are not allowed
linha 54: Multiple empty lines are not allowed</v>
      </c>
      <c r="H94" s="20">
        <f>IFERROR(__xludf.DUMMYFUNCTION("IF(G94="""", 0, COUNTA(SPLIT(G94, CHAR(10))))"),8.0)</f>
        <v>8</v>
      </c>
      <c r="I94" s="11" t="s">
        <v>721</v>
      </c>
      <c r="J94" s="20">
        <f>IFERROR(__xludf.DUMMYFUNCTION("IF(I94="""", 0, COUNTA(SPLIT(I94, CHAR(10))))"),10.0)</f>
        <v>10</v>
      </c>
      <c r="K94" s="11" t="str">
        <f>IFERROR(__xludf.DUMMYFUNCTION("IFERROR(
   IF(
     COUNTA(FILTER(SPLIT(I94, CHAR(10)), NOT(REGEXMATCH(SPLIT(I94, CHAR(10)), "" name is too long"")))) = 0,
     """",
     JOIN(CHAR(10), FILTER(SPLIT(I94, CHAR(10)), NOT(REGEXMATCH(SPLIT(I94, CHAR(10)), "" name is too long""))))
   ),
 "&amp;"  """"
)"),"")</f>
        <v/>
      </c>
      <c r="L94" s="20">
        <f>IFERROR(__xludf.DUMMYFUNCTION("IF(K94="""", 0, COUNTA(SPLIT(K94, CHAR(10))))"),0.0)</f>
        <v>0</v>
      </c>
    </row>
    <row r="95">
      <c r="A95" s="18" t="s">
        <v>169</v>
      </c>
      <c r="B95" s="18" t="s">
        <v>165</v>
      </c>
      <c r="C95" s="18" t="s">
        <v>722</v>
      </c>
      <c r="D95" s="19">
        <v>8.0</v>
      </c>
      <c r="E95" s="11" t="s">
        <v>723</v>
      </c>
      <c r="F95" s="20">
        <f>IFERROR(__xludf.DUMMYFUNCTION("IF(E95="""", 0, COUNTA(SPLIT(E95, CHAR(10))))"),4.0)</f>
        <v>4</v>
      </c>
      <c r="G95" s="11" t="str">
        <f>IFERROR(__xludf.DUMMYFUNCTION("IFERROR(
   IF(
     COUNTA(FILTER(SPLIT(E95, CHAR(10)), NOT(REGEXMATCH(SPLIT(E95, CHAR(10)), "" name is too long"")))) = 0,
     """",
     JOIN(CHAR(10), FILTER(SPLIT(E95, CHAR(10)), NOT(REGEXMATCH(SPLIT(E95, CHAR(10)), "" name is too long""))))
   ),
 "&amp;"  """"
)"),"linha 7: Step ""When I go back to store"" should use And instead of When
linha 10: Multiple empty lines are not allowed
linha 11: Multiple empty lines are not allowed")</f>
        <v>linha 7: Step "When I go back to store" should use And instead of When
linha 10: Multiple empty lines are not allowed
linha 11: Multiple empty lines are not allowed</v>
      </c>
      <c r="H95" s="20">
        <f>IFERROR(__xludf.DUMMYFUNCTION("IF(G95="""", 0, COUNTA(SPLIT(G95, CHAR(10))))"),3.0)</f>
        <v>3</v>
      </c>
      <c r="I95" s="11" t="s">
        <v>724</v>
      </c>
      <c r="J95" s="20">
        <f>IFERROR(__xludf.DUMMYFUNCTION("IF(I95="""", 0, COUNTA(SPLIT(I95, CHAR(10))))"),2.0)</f>
        <v>2</v>
      </c>
      <c r="K95" s="11" t="str">
        <f>IFERROR(__xludf.DUMMYFUNCTION("IFERROR(
   IF(
     COUNTA(FILTER(SPLIT(I95, CHAR(10)), NOT(REGEXMATCH(SPLIT(I95, CHAR(10)), "" name is too long"")))) = 0,
     """",
     JOIN(CHAR(10), FILTER(SPLIT(I95, CHAR(10)), NOT(REGEXMATCH(SPLIT(I95, CHAR(10)), "" name is too long""))))
   ),
 "&amp;"  """"
)"),"linha 7: Step ""When I go back to store"" should use And instead of When")</f>
        <v>linha 7: Step "When I go back to store" should use And instead of When</v>
      </c>
      <c r="L95" s="20">
        <f>IFERROR(__xludf.DUMMYFUNCTION("IF(K95="""", 0, COUNTA(SPLIT(K95, CHAR(10))))"),1.0)</f>
        <v>1</v>
      </c>
    </row>
    <row r="96">
      <c r="A96" s="18" t="s">
        <v>173</v>
      </c>
      <c r="B96" s="18" t="s">
        <v>165</v>
      </c>
      <c r="C96" s="18" t="s">
        <v>725</v>
      </c>
      <c r="D96" s="19">
        <v>54.0</v>
      </c>
      <c r="E96" s="11" t="s">
        <v>726</v>
      </c>
      <c r="F96" s="20">
        <f>IFERROR(__xludf.DUMMYFUNCTION("IF(E96="""", 0, COUNTA(SPLIT(E96, CHAR(10))))"),23.0)</f>
        <v>23</v>
      </c>
      <c r="G96" s="11" t="str">
        <f>IFERROR(__xludf.DUMMYFUNCTION("IFERROR(
   IF(
     COUNTA(FILTER(SPLIT(E96, CHAR(10)), NOT(REGEXMATCH(SPLIT(E96, CHAR(10)), "" name is too long"")))) = 0,
     """",
     JOIN(CHAR(10), FILTER(SPLIT(E96, CHAR(10)), NOT(REGEXMATCH(SPLIT(E96, CHAR(10)), "" name is too long""))))
   ),
 "&amp;"  """"
)"),"linha 12: Multiple empty lines are not allowed
linha 13: Multiple empty lines are not allowed
linha 22: Multiple empty lines are not allowed
linha 23: Multiple empty lines are not allowed
linha 32: Multiple empty lines are not allowed
linha 33: Multiple e"&amp;"mpty lines are not allowed
linha 44: Multiple empty lines are not allowed
linha 45: Multiple empty lines are not allowed
linha 57: Multiple empty lines are not allowed
linha 58: Multiple empty lines are not allowed")</f>
        <v>linha 12: Multiple empty lines are not allowed
linha 13: Multiple empty lines are not allowed
linha 22: Multiple empty lines are not allowed
linha 23: Multiple empty lines are not allowed
linha 32: Multiple empty lines are not allowed
linha 33: Multiple empty lines are not allowed
linha 44: Multiple empty lines are not allowed
linha 45: Multiple empty lines are not allowed
linha 57: Multiple empty lines are not allowed
linha 58: Multiple empty lines are not allowed</v>
      </c>
      <c r="H96" s="20">
        <f>IFERROR(__xludf.DUMMYFUNCTION("IF(G96="""", 0, COUNTA(SPLIT(G96, CHAR(10))))"),10.0)</f>
        <v>10</v>
      </c>
      <c r="I96" s="11" t="s">
        <v>727</v>
      </c>
      <c r="J96" s="20">
        <f>IFERROR(__xludf.DUMMYFUNCTION("IF(I96="""", 0, COUNTA(SPLIT(I96, CHAR(10))))"),13.0)</f>
        <v>13</v>
      </c>
      <c r="K96" s="11" t="str">
        <f>IFERROR(__xludf.DUMMYFUNCTION("IFERROR(
   IF(
     COUNTA(FILTER(SPLIT(I96, CHAR(10)), NOT(REGEXMATCH(SPLIT(I96, CHAR(10)), "" name is too long"")))) = 0,
     """",
     JOIN(CHAR(10), FILTER(SPLIT(I96, CHAR(10)), NOT(REGEXMATCH(SPLIT(I96, CHAR(10)), "" name is too long""))))
   ),
 "&amp;"  """"
)"),"")</f>
        <v/>
      </c>
      <c r="L96" s="20">
        <f>IFERROR(__xludf.DUMMYFUNCTION("IF(K96="""", 0, COUNTA(SPLIT(K96, CHAR(10))))"),0.0)</f>
        <v>0</v>
      </c>
    </row>
    <row r="97">
      <c r="A97" s="18" t="s">
        <v>177</v>
      </c>
      <c r="B97" s="18" t="s">
        <v>165</v>
      </c>
      <c r="C97" s="18" t="s">
        <v>728</v>
      </c>
      <c r="D97" s="19">
        <v>18.0</v>
      </c>
      <c r="E97" s="11" t="s">
        <v>729</v>
      </c>
      <c r="F97" s="20">
        <f>IFERROR(__xludf.DUMMYFUNCTION("IF(E97="""", 0, COUNTA(SPLIT(E97, CHAR(10))))"),8.0)</f>
        <v>8</v>
      </c>
      <c r="G97" s="11" t="str">
        <f>IFERROR(__xludf.DUMMYFUNCTION("IFERROR(
   IF(
     COUNTA(FILTER(SPLIT(E97, CHAR(10)), NOT(REGEXMATCH(SPLIT(E97, CHAR(10)), "" name is too long"")))) = 0,
     """",
     JOIN(CHAR(10), FILTER(SPLIT(E97, CHAR(10)), NOT(REGEXMATCH(SPLIT(E97, CHAR(10)), "" name is too long""))))
   ),
 "&amp;"  """"
)"),"linha 10: Multiple empty lines are not allowed
linha 11: Multiple empty lines are not allowed
linha 18: Multiple empty lines are not allowed
linha 19: Multiple empty lines are not allowed
linha 26: Multiple empty lines are not allowed
linha 27: Multiple e"&amp;"mpty lines are not allowed")</f>
        <v>linha 10: Multiple empty lines are not allowed
linha 11: Multiple empty lines are not allowed
linha 18: Multiple empty lines are not allowed
linha 19: Multiple empty lines are not allowed
linha 26: Multiple empty lines are not allowed
linha 27: Multiple empty lines are not allowed</v>
      </c>
      <c r="H97" s="20">
        <f>IFERROR(__xludf.DUMMYFUNCTION("IF(G97="""", 0, COUNTA(SPLIT(G97, CHAR(10))))"),6.0)</f>
        <v>6</v>
      </c>
      <c r="I97" s="11" t="s">
        <v>730</v>
      </c>
      <c r="J97" s="20">
        <f>IFERROR(__xludf.DUMMYFUNCTION("IF(I97="""", 0, COUNTA(SPLIT(I97, CHAR(10))))"),2.0)</f>
        <v>2</v>
      </c>
      <c r="K97" s="11" t="str">
        <f>IFERROR(__xludf.DUMMYFUNCTION("IFERROR(
   IF(
     COUNTA(FILTER(SPLIT(I97, CHAR(10)), NOT(REGEXMATCH(SPLIT(I97, CHAR(10)), "" name is too long"")))) = 0,
     """",
     JOIN(CHAR(10), FILTER(SPLIT(I97, CHAR(10)), NOT(REGEXMATCH(SPLIT(I97, CHAR(10)), "" name is too long""))))
   ),
 "&amp;"  """"
)"),"")</f>
        <v/>
      </c>
      <c r="L97" s="20">
        <f>IFERROR(__xludf.DUMMYFUNCTION("IF(K97="""", 0, COUNTA(SPLIT(K97, CHAR(10))))"),0.0)</f>
        <v>0</v>
      </c>
    </row>
    <row r="98">
      <c r="A98" s="18" t="s">
        <v>417</v>
      </c>
      <c r="B98" s="18" t="s">
        <v>418</v>
      </c>
      <c r="C98" s="18" t="s">
        <v>731</v>
      </c>
      <c r="D98" s="19">
        <v>82.0</v>
      </c>
      <c r="E98" s="11" t="s">
        <v>732</v>
      </c>
      <c r="F98" s="20">
        <f>IFERROR(__xludf.DUMMYFUNCTION("IF(E98="""", 0, COUNTA(SPLIT(E98, CHAR(10))))"),29.0)</f>
        <v>29</v>
      </c>
      <c r="G98" s="11" t="str">
        <f>IFERROR(__xludf.DUMMYFUNCTION("IFERROR(
   IF(
     COUNTA(FILTER(SPLIT(E98, CHAR(10)), NOT(REGEXMATCH(SPLIT(E98, CHAR(10)), "" name is too long"")))) = 0,
     """",
     JOIN(CHAR(10), FILTER(SPLIT(E98, CHAR(10)), NOT(REGEXMATCH(SPLIT(E98, CHAR(10)), "" name is too long""))))
   ),
 "&amp;"  """"
)"),"linha 6: Multiple empty lines are not allowed
linha 7: Multiple empty lines are not allowed
linha 11: Step ""When I enter the hostname of ""sle_minion"" as ""hostname"""" should not appear after step using keyword then
linha 20: Multiple empty lines are n"&amp;"ot allowed
linha 21: Multiple empty lines are not allowed
linha 25: Step ""When I enter ""not-existing-name"" as ""hostname"""" should not appear after step using keyword then
linha 32: Step ""When I click on ""Details"""" should not appear after step usi"&amp;"ng keyword then
linha 36: Step ""When I close the modal dialog"" should not appear after step using keyword then
linha 38: Multiple empty lines are not allowed
linha 39: Multiple empty lines are not allowed
linha 43: Step ""When I enter the hostname of """&amp;"localhost"" as ""hostname"""" should not appear after step using keyword then
linha 50: Step ""When I click on ""Details"""" should not appear after step using keyword then
linha 54: Step ""When I close the modal dialog"" should not appear after step usin"&amp;"g keyword then
linha 56: Multiple empty lines are not allowed
linha 57: Multiple empty lines are not allowed
linha 61: Step ""When I enter the hostname of ""localhost"" as ""hostname"""" should not appear after step using keyword then
linha 68: Step ""Whe"&amp;"n I click on ""Details"""" should not appear after step using keyword then
linha 72: Step ""When I close the modal dialog"" should not appear after step using keyword then
linha 74: Multiple empty lines are not allowed
linha 75: Multiple empty lines are n"&amp;"ot allowed")</f>
        <v>linha 6: Multiple empty lines are not allowed
linha 7: Multiple empty lines are not allowed
linha 11: Step "When I enter the hostname of "sle_minion" as "hostname"" should not appear after step using keyword then
linha 20: Multiple empty lines are not allowed
linha 21: Multiple empty lines are not allowed
linha 25: Step "When I enter "not-existing-name" as "hostname"" should not appear after step using keyword then
linha 32: Step "When I click on "Details"" should not appear after step using keyword then
linha 36: Step "When I close the modal dialog" should not appear after step using keyword then
linha 38: Multiple empty lines are not allowed
linha 39: Multiple empty lines are not allowed
linha 43: Step "When I enter the hostname of "localhost" as "hostname"" should not appear after step using keyword then
linha 50: Step "When I click on "Details"" should not appear after step using keyword then
linha 54: Step "When I close the modal dialog" should not appear after step using keyword then
linha 56: Multiple empty lines are not allowed
linha 57: Multiple empty lines are not allowed
linha 61: Step "When I enter the hostname of "localhost" as "hostname"" should not appear after step using keyword then
linha 68: Step "When I click on "Details"" should not appear after step using keyword then
linha 72: Step "When I close the modal dialog" should not appear after step using keyword then
linha 74: Multiple empty lines are not allowed
linha 75: Multiple empty lines are not allowed</v>
      </c>
      <c r="H98" s="20">
        <f>IFERROR(__xludf.DUMMYFUNCTION("IF(G98="""", 0, COUNTA(SPLIT(G98, CHAR(10))))"),20.0)</f>
        <v>20</v>
      </c>
      <c r="I98" s="11" t="s">
        <v>733</v>
      </c>
      <c r="J98" s="20">
        <f>IFERROR(__xludf.DUMMYFUNCTION("IF(I98="""", 0, COUNTA(SPLIT(I98, CHAR(10))))"),19.0)</f>
        <v>19</v>
      </c>
      <c r="K98" s="11" t="str">
        <f>IFERROR(__xludf.DUMMYFUNCTION("IFERROR(
   IF(
     COUNTA(FILTER(SPLIT(I98, CHAR(10)), NOT(REGEXMATCH(SPLIT(I98, CHAR(10)), "" name is too long"")))) = 0,
     """",
     JOIN(CHAR(10), FILTER(SPLIT(I98, CHAR(10)), NOT(REGEXMATCH(SPLIT(I98, CHAR(10)), "" name is too long""))))
   ),
 "&amp;"  """"
)"),"linha 11: Step ""When I enter the hostname of ""sle_minion"" as ""hostname"""" should not appear after step using keyword then
linha 25: Step ""When I enter ""not-existing-name"" as ""hostname"""" should not appear after step using keyword then
linha 32: "&amp;"Step ""When I click on ""Details"""" should not appear after step using keyword then
linha 36: Step ""When I close the modal dialog"" should not appear after step using keyword then
linha 43: Step ""When I enter the hostname of ""localhost"" as ""hostname"&amp;""""" should not appear after step using keyword then
linha 50: Step ""When I click on ""Details"""" should not appear after step using keyword then
linha 54: Step ""When I close the modal dialog"" should not appear after step using keyword then
linha 61: "&amp;"Step ""When I enter the hostname of ""localhost"" as ""hostname"""" should not appear after step using keyword then
linha 68: Step ""When I click on ""Details"""" should not appear after step using keyword then
linha 72: Step ""When I close the modal dial"&amp;"og"" should not appear after step using keyword then")</f>
        <v>linha 11: Step "When I enter the hostname of "sle_minion" as "hostname"" should not appear after step using keyword then
linha 25: Step "When I enter "not-existing-name" as "hostname"" should not appear after step using keyword then
linha 32: Step "When I click on "Details"" should not appear after step using keyword then
linha 36: Step "When I close the modal dialog" should not appear after step using keyword then
linha 43: Step "When I enter the hostname of "localhost" as "hostname"" should not appear after step using keyword then
linha 50: Step "When I click on "Details"" should not appear after step using keyword then
linha 54: Step "When I close the modal dialog" should not appear after step using keyword then
linha 61: Step "When I enter the hostname of "localhost" as "hostname"" should not appear after step using keyword then
linha 68: Step "When I click on "Details"" should not appear after step using keyword then
linha 72: Step "When I close the modal dialog" should not appear after step using keyword then</v>
      </c>
      <c r="L98" s="20">
        <f>IFERROR(__xludf.DUMMYFUNCTION("IF(K98="""", 0, COUNTA(SPLIT(K98, CHAR(10))))"),10.0)</f>
        <v>10</v>
      </c>
    </row>
    <row r="99">
      <c r="A99" s="18" t="s">
        <v>422</v>
      </c>
      <c r="B99" s="18" t="s">
        <v>418</v>
      </c>
      <c r="C99" s="18" t="s">
        <v>734</v>
      </c>
      <c r="D99" s="19">
        <v>211.0</v>
      </c>
      <c r="E99" s="11" t="s">
        <v>735</v>
      </c>
      <c r="F99" s="20">
        <f>IFERROR(__xludf.DUMMYFUNCTION("IF(E99="""", 0, COUNTA(SPLIT(E99, CHAR(10))))"),73.0)</f>
        <v>73</v>
      </c>
      <c r="G99" s="11" t="str">
        <f>IFERROR(__xludf.DUMMYFUNCTION("IFERROR(
   IF(
     COUNTA(FILTER(SPLIT(E99, CHAR(10)), NOT(REGEXMATCH(SPLIT(E99, CHAR(10)), "" name is too long"")))) = 0,
     """",
     JOIN(CHAR(10), FILTER(SPLIT(E99, CHAR(10)), NOT(REGEXMATCH(SPLIT(E99, CHAR(10)), "" name is too long""))))
   ),
 "&amp;"  """"
)"),"linha 6: Multiple empty lines are not allowed
linha 7: Multiple empty lines are not allowed
linha 12: Step ""When I enter ""My State Channel"" as ""cofName"""" should not appear after step using keyword then
linha 22: Multiple empty lines are not allowed
"&amp;"linha 23: Multiple empty lines are not allowed
linha 34: Multiple empty lines are not allowed
linha 35: Multiple empty lines are not allowed
linha 40: Step ""When I follow ""View/Edit 'init.sls' File"""" should not appear after step using keyword then
lin"&amp;"ha 45: Multiple empty lines are not allowed
linha 46: Multiple empty lines are not allowed
linha 52: Step ""When I click on ""Execute States"""" should not appear after step using keyword then
linha 54: Step ""When I wait until event ""Apply states [custo"&amp;"m] scheduled"" is completed"" should not appear after step using keyword then
linha 57: Multiple empty lines are not allowed
linha 58: Multiple empty lines are not allowed
linha 63: Step ""When I follow ""Delete"""" should use And instead of When
linha 68"&amp;": Multiple empty lines are not allowed
linha 69: Multiple empty lines are not allowed
linha 75: Step ""When I click on ""Delete Config Channel"""" should not appear after step using keyword then
linha 79: Multiple empty lines are not allowed
linha 80: Mul"&amp;"tiple empty lines are not allowed
linha 85: Step ""When I enter ""My State Channel"" as ""cofName"""" should not appear after step using keyword then
linha 95: Multiple empty lines are not allowed
linha 96: Multiple empty lines are not allowed
linha 101: "&amp;"Step ""When I enter ""My State Channel"" as ""cofName"""" should not appear after step using keyword then
linha 111: Multiple empty lines are not allowed
linha 112: Multiple empty lines are not allowed
linha 117: Step ""When I update init.sls from spacecm"&amp;"d with content ""touch /tmp/statechannel3:
  cmd.run:
    - creates: /tmp/statechannel3"" for channel ""statechannel3"""" should not appear after step using keyword then
linha 120: Step ""When I update init.sls from spacecmd with content ""touch /root/sta"&amp;"techannel3:
  cmd.run:
    - creates: /root/statechannel3"" for channel ""statechannel3"" and revision ""100"""" should not appear after step using keyword then
linha 124: Multiple empty lines are not allowed
linha 125: Multiple empty lines are not allowe"&amp;"d
linha 134: Step ""When I check ""statechannel-cbox"""" should not appear after step using keyword then
linha 140: Step ""When I click on ""Confirm"""" should not appear after step using keyword then
linha 143: Multiple empty lines are not allowed
linha "&amp;"144: Multiple empty lines are not allowed
linha 156: Multiple empty lines are not allowed
linha 157: Multiple empty lines are not allowed
linha 163: Step ""When I check ""statechannel3-cbox"""" should not appear after step using keyword then
linha 169: St"&amp;"ep ""When I click on ""Confirm"""" should not appear after step using keyword then
linha 169: Step ""When I click on ""Confirm"""" should use And instead of When
linha 172: Multiple empty lines are not allowed
linha 173: Multiple empty lines are not allow"&amp;"ed
linha 178: Multiple empty lines are not allowed
linha 179: Multiple empty lines are not allowed
linha 185: Step ""When I click on ""Delete Config Channel"""" should not appear after step using keyword then
linha 187: Step ""When I remove ""/root/statec"&amp;"hannel"" from ""sle_minion"""" should not appear after step using keyword then
linha 189: Multiple empty lines are not allowed
linha 190: Multiple empty lines are not allowed
linha 196: Step ""When I click on ""Delete Config Channel"""" should not appear "&amp;"after step using keyword then
linha 198: Step ""When I remove ""/root/statechannel2"" from ""sle_minion"""" should not appear after step using keyword then
linha 200: Multiple empty lines are not allowed
linha 201: Multiple empty lines are not allowed
lin"&amp;"ha 207: Step ""When I click on ""Delete Config Channel"""" should not appear after step using keyword then
linha 209: Step ""When I remove ""/root/statechannel3"" from ""sle_minion"""" should not appear after step using keyword then
linha 211: Multiple em"&amp;"pty lines are not allowed
linha 212: Multiple empty lines are not allowed")</f>
        <v>linha 6: Multiple empty lines are not allowed
linha 7: Multiple empty lines are not allowed
linha 12: Step "When I enter "My State Channel" as "cofName"" should not appear after step using keyword then
linha 22: Multiple empty lines are not allowed
linha 23: Multiple empty lines are not allowed
linha 34: Multiple empty lines are not allowed
linha 35: Multiple empty lines are not allowed
linha 40: Step "When I follow "View/Edit 'init.sls' File"" should not appear after step using keyword then
linha 45: Multiple empty lines are not allowed
linha 46: Multiple empty lines are not allowed
linha 52: Step "When I click on "Execute States"" should not appear after step using keyword then
linha 54: Step "When I wait until event "Apply states [custom] scheduled" is completed" should not appear after step using keyword then
linha 57: Multiple empty lines are not allowed
linha 58: Multiple empty lines are not allowed
linha 63: Step "When I follow "Delete"" should use And instead of When
linha 68: Multiple empty lines are not allowed
linha 69: Multiple empty lines are not allowed
linha 75: Step "When I click on "Delete Config Channel"" should not appear after step using keyword then
linha 79: Multiple empty lines are not allowed
linha 80: Multiple empty lines are not allowed
linha 85: Step "When I enter "My State Channel" as "cofName"" should not appear after step using keyword then
linha 95: Multiple empty lines are not allowed
linha 96: Multiple empty lines are not allowed
linha 101: Step "When I enter "My State Channel" as "cofName"" should not appear after step using keyword then
linha 111: Multiple empty lines are not allowed
linha 112: Multiple empty lines are not allowed
linha 117: Step "When I update init.sls from spacecmd with content "touch /tmp/statechannel3:
  cmd.run:
    - creates: /tmp/statechannel3" for channel "statechannel3"" should not appear after step using keyword then
linha 120: Step "When I update init.sls from spacecmd with content "touch /root/statechannel3:
  cmd.run:
    - creates: /root/statechannel3" for channel "statechannel3" and revision "100"" should not appear after step using keyword then
linha 124: Multiple empty lines are not allowed
linha 125: Multiple empty lines are not allowed
linha 134: Step "When I check "statechannel-cbox"" should not appear after step using keyword then
linha 140: Step "When I click on "Confirm"" should not appear after step using keyword then
linha 143: Multiple empty lines are not allowed
linha 144: Multiple empty lines are not allowed
linha 156: Multiple empty lines are not allowed
linha 157: Multiple empty lines are not allowed
linha 163: Step "When I check "statechannel3-cbox"" should not appear after step using keyword then
linha 169: Step "When I click on "Confirm"" should not appear after step using keyword then
linha 169: Step "When I click on "Confirm"" should use And instead of When
linha 172: Multiple empty lines are not allowed
linha 173: Multiple empty lines are not allowed
linha 178: Multiple empty lines are not allowed
linha 179: Multiple empty lines are not allowed
linha 185: Step "When I click on "Delete Config Channel"" should not appear after step using keyword then
linha 187: Step "When I remove "/root/statechannel" from "sle_minion"" should not appear after step using keyword then
linha 189: Multiple empty lines are not allowed
linha 190: Multiple empty lines are not allowed
linha 196: Step "When I click on "Delete Config Channel"" should not appear after step using keyword then
linha 198: Step "When I remove "/root/statechannel2" from "sle_minion"" should not appear after step using keyword then
linha 200: Multiple empty lines are not allowed
linha 201: Multiple empty lines are not allowed
linha 207: Step "When I click on "Delete Config Channel"" should not appear after step using keyword then
linha 209: Step "When I remove "/root/statechannel3" from "sle_minion"" should not appear after step using keyword then
linha 211: Multiple empty lines are not allowed
linha 212: Multiple empty lines are not allowed</v>
      </c>
      <c r="H99" s="20">
        <f>IFERROR(__xludf.DUMMYFUNCTION("IF(G99="""", 0, COUNTA(SPLIT(G99, CHAR(10))))"),59.0)</f>
        <v>59</v>
      </c>
      <c r="I99" s="11" t="s">
        <v>736</v>
      </c>
      <c r="J99" s="20">
        <f>IFERROR(__xludf.DUMMYFUNCTION("IF(I99="""", 0, COUNTA(SPLIT(I99, CHAR(10))))"),39.0)</f>
        <v>39</v>
      </c>
      <c r="K99" s="11" t="str">
        <f>IFERROR(__xludf.DUMMYFUNCTION("IFERROR(
   IF(
     COUNTA(FILTER(SPLIT(I99, CHAR(10)), NOT(REGEXMATCH(SPLIT(I99, CHAR(10)), "" name is too long"")))) = 0,
     """",
     JOIN(CHAR(10), FILTER(SPLIT(I99, CHAR(10)), NOT(REGEXMATCH(SPLIT(I99, CHAR(10)), "" name is too long""))))
   ),
 "&amp;"  """"
)"),"linha 12: Step ""When I enter ""My State Channel"" as ""cofName"""" should not appear after step using keyword then
linha 40: Step ""When I follow ""View/Edit 'init.sls' File"""" should not appear after step using keyword then
linha 52: Step ""When I clic"&amp;"k on ""Execute States"""" should not appear after step using keyword then
linha 54: Step ""When I wait until event ""Apply states [custom] scheduled"" is completed"" should not appear after step using keyword then
linha 63: Step ""When I follow ""Delete"""&amp;""" should use And instead of When
linha 75: Step ""When I click on ""Delete Config Channel"""" should not appear after step using keyword then
linha 85: Step ""When I enter ""My State Channel"" as ""cofName"""" should not appear after step using keyword t"&amp;"hen
linha 101: Step ""When I enter ""My State Channel"" as ""cofName"""" should not appear after step using keyword then
linha 117: Step ""When I update init.sls from spacecmd with content ""touch /tmp/statechannel3:
  cmd.run:
    - creates: /tmp/statech"&amp;"annel3"" for channel ""statechannel3"""" should not appear after step using keyword then
linha 120: Step ""When I update init.sls from spacecmd with content ""touch /root/statechannel3:
  cmd.run:
    - creates: /root/statechannel3"" for channel ""statech"&amp;"annel3"" and revision ""100"""" should not appear after step using keyword then
linha 134: Step ""When I check ""statechannel-cbox"""" should not appear after step using keyword then
linha 140: Step ""When I click on ""Confirm"""" should not appear after "&amp;"step using keyword then
linha 163: Step ""When I check ""statechannel3-cbox"""" should not appear after step using keyword then
linha 169: Step ""When I click on ""Confirm"""" should not appear after step using keyword then
linha 169: Step ""When I click "&amp;"on ""Confirm"""" should use And instead of When
linha 185: Step ""When I click on ""Delete Config Channel"""" should not appear after step using keyword then
linha 187: Step ""When I remove ""/root/statechannel"" from ""sle_minion"""" should not appear af"&amp;"ter step using keyword then
linha 196: Step ""When I click on ""Delete Config Channel"""" should not appear after step using keyword then
linha 198: Step ""When I remove ""/root/statechannel2"" from ""sle_minion"""" should not appear after step using keyw"&amp;"ord then
linha 207: Step ""When I click on ""Delete Config Channel"""" should not appear after step using keyword then
linha 209: Step ""When I remove ""/root/statechannel3"" from ""sle_minion"""" should not appear after step using keyword then")</f>
        <v>linha 12: Step "When I enter "My State Channel" as "cofName"" should not appear after step using keyword then
linha 40: Step "When I follow "View/Edit 'init.sls' File"" should not appear after step using keyword then
linha 52: Step "When I click on "Execute States"" should not appear after step using keyword then
linha 54: Step "When I wait until event "Apply states [custom] scheduled" is completed" should not appear after step using keyword then
linha 63: Step "When I follow "Delete"" should use And instead of When
linha 75: Step "When I click on "Delete Config Channel"" should not appear after step using keyword then
linha 85: Step "When I enter "My State Channel" as "cofName"" should not appear after step using keyword then
linha 101: Step "When I enter "My State Channel" as "cofName"" should not appear after step using keyword then
linha 117: Step "When I update init.sls from spacecmd with content "touch /tmp/statechannel3:
  cmd.run:
    - creates: /tmp/statechannel3" for channel "statechannel3"" should not appear after step using keyword then
linha 120: Step "When I update init.sls from spacecmd with content "touch /root/statechannel3:
  cmd.run:
    - creates: /root/statechannel3" for channel "statechannel3" and revision "100"" should not appear after step using keyword then
linha 134: Step "When I check "statechannel-cbox"" should not appear after step using keyword then
linha 140: Step "When I click on "Confirm"" should not appear after step using keyword then
linha 163: Step "When I check "statechannel3-cbox"" should not appear after step using keyword then
linha 169: Step "When I click on "Confirm"" should not appear after step using keyword then
linha 169: Step "When I click on "Confirm"" should use And instead of When
linha 185: Step "When I click on "Delete Config Channel"" should not appear after step using keyword then
linha 187: Step "When I remove "/root/statechannel" from "sle_minion"" should not appear after step using keyword then
linha 196: Step "When I click on "Delete Config Channel"" should not appear after step using keyword then
linha 198: Step "When I remove "/root/statechannel2" from "sle_minion"" should not appear after step using keyword then
linha 207: Step "When I click on "Delete Config Channel"" should not appear after step using keyword then
linha 209: Step "When I remove "/root/statechannel3" from "sle_minion"" should not appear after step using keyword then</v>
      </c>
      <c r="L99" s="20">
        <f>IFERROR(__xludf.DUMMYFUNCTION("IF(K99="""", 0, COUNTA(SPLIT(K99, CHAR(10))))"),25.0)</f>
        <v>25</v>
      </c>
    </row>
    <row r="100">
      <c r="A100" s="18" t="s">
        <v>426</v>
      </c>
      <c r="B100" s="18" t="s">
        <v>418</v>
      </c>
      <c r="C100" s="18" t="s">
        <v>737</v>
      </c>
      <c r="D100" s="19">
        <v>62.0</v>
      </c>
      <c r="E100" s="11" t="s">
        <v>738</v>
      </c>
      <c r="F100" s="20">
        <f>IFERROR(__xludf.DUMMYFUNCTION("IF(E100="""", 0, COUNTA(SPLIT(E100, CHAR(10))))"),30.0)</f>
        <v>30</v>
      </c>
      <c r="G100" s="11" t="str">
        <f>IFERROR(__xludf.DUMMYFUNCTION("IFERROR(
   IF(
     COUNTA(FILTER(SPLIT(E100, CHAR(10)), NOT(REGEXMATCH(SPLIT(E100, CHAR(10)), "" name is too long"")))) = 0,
     """",
     JOIN(CHAR(10), FILTER(SPLIT(E100, CHAR(10)), NOT(REGEXMATCH(SPLIT(E100, CHAR(10)), "" name is too long""))))
   "&amp;"),
   """"
)"),"linha 6: Multiple empty lines are not allowed
linha 7: Multiple empty lines are not allowed
linha 12: Multiple empty lines are not allowed
linha 13: Multiple empty lines are not allowed
linha 17: Multiple empty lines are not allowed
linha 18: Multiple emp"&amp;"ty lines are not allowed
linha 22: Step ""When I enter the hostname of ""proxy"" as ""hostname"""" should not appear after step using keyword then
linha 30: Multiple empty lines are not allowed
linha 31: Multiple empty lines are not allowed
linha 36: Mult"&amp;"iple empty lines are not allowed
linha 37: Multiple empty lines are not allowed
linha 41: Multiple empty lines are not allowed
linha 42: Multiple empty lines are not allowed
linha 46: Multiple empty lines are not allowed
linha 47: Multiple empty lines are"&amp;" not allowed
linha 52: Multiple empty lines are not allowed
linha 53: Multiple empty lines are not allowed
linha 58: Multiple empty lines are not allowed
linha 59: Multiple empty lines are not allowed
linha 63: Multiple empty lines are not allowed
linha 6"&amp;"4: Multiple empty lines are not allowed
linha 68: Multiple empty lines are not allowed
linha 69: Multiple empty lines are not allowed
linha 82: Multiple empty lines are not allowed
linha 83: Multiple empty lines are not allowed
linha 88: Multiple empty li"&amp;"nes are not allowed
linha 89: Multiple empty lines are not allowed")</f>
        <v>linha 6: Multiple empty lines are not allowed
linha 7: Multiple empty lines are not allowed
linha 12: Multiple empty lines are not allowed
linha 13: Multiple empty lines are not allowed
linha 17: Multiple empty lines are not allowed
linha 18: Multiple empty lines are not allowed
linha 22: Step "When I enter the hostname of "proxy" as "hostname"" should not appear after step using keyword then
linha 30: Multiple empty lines are not allowed
linha 31: Multiple empty lines are not allowed
linha 36: Multiple empty lines are not allowed
linha 37: Multiple empty lines are not allowed
linha 41: Multiple empty lines are not allowed
linha 42: Multiple empty lines are not allowed
linha 46: Multiple empty lines are not allowed
linha 47: Multiple empty lines are not allowed
linha 52: Multiple empty lines are not allowed
linha 53: Multiple empty lines are not allowed
linha 58: Multiple empty lines are not allowed
linha 59: Multiple empty lines are not allowed
linha 63: Multiple empty lines are not allowed
linha 64: Multiple empty lines are not allowed
linha 68: Multiple empty lines are not allowed
linha 69: Multiple empty lines are not allowed
linha 82: Multiple empty lines are not allowed
linha 83: Multiple empty lines are not allowed
linha 88: Multiple empty lines are not allowed
linha 89: Multiple empty lines are not allowed</v>
      </c>
      <c r="H100" s="20">
        <f>IFERROR(__xludf.DUMMYFUNCTION("IF(G100="""", 0, COUNTA(SPLIT(G100, CHAR(10))))"),27.0)</f>
        <v>27</v>
      </c>
      <c r="I100" s="11" t="s">
        <v>739</v>
      </c>
      <c r="J100" s="20">
        <f>IFERROR(__xludf.DUMMYFUNCTION("IF(I100="""", 0, COUNTA(SPLIT(I100, CHAR(10))))"),4.0)</f>
        <v>4</v>
      </c>
      <c r="K100" s="11" t="str">
        <f>IFERROR(__xludf.DUMMYFUNCTION("IFERROR(
   IF(
     COUNTA(FILTER(SPLIT(I100, CHAR(10)), NOT(REGEXMATCH(SPLIT(I100, CHAR(10)), "" name is too long"")))) = 0,
     """",
     JOIN(CHAR(10), FILTER(SPLIT(I100, CHAR(10)), NOT(REGEXMATCH(SPLIT(I100, CHAR(10)), "" name is too long""))))
   "&amp;"),
   """"
)"),"linha 22: Step ""When I enter the hostname of ""proxy"" as ""hostname"""" should not appear after step using keyword then")</f>
        <v>linha 22: Step "When I enter the hostname of "proxy" as "hostname"" should not appear after step using keyword then</v>
      </c>
      <c r="L100" s="20">
        <f>IFERROR(__xludf.DUMMYFUNCTION("IF(K100="""", 0, COUNTA(SPLIT(K100, CHAR(10))))"),1.0)</f>
        <v>1</v>
      </c>
    </row>
    <row r="101">
      <c r="A101" s="18" t="s">
        <v>430</v>
      </c>
      <c r="B101" s="18" t="s">
        <v>418</v>
      </c>
      <c r="C101" s="18" t="s">
        <v>740</v>
      </c>
      <c r="D101" s="19">
        <v>157.0</v>
      </c>
      <c r="E101" s="11" t="s">
        <v>741</v>
      </c>
      <c r="F101" s="20">
        <f>IFERROR(__xludf.DUMMYFUNCTION("IF(E101="""", 0, COUNTA(SPLIT(E101, CHAR(10))))"),50.0)</f>
        <v>50</v>
      </c>
      <c r="G101" s="11" t="str">
        <f>IFERROR(__xludf.DUMMYFUNCTION("IFERROR(
   IF(
     COUNTA(FILTER(SPLIT(E101, CHAR(10)), NOT(REGEXMATCH(SPLIT(E101, CHAR(10)), "" name is too long"")))) = 0,
     """",
     JOIN(CHAR(10), FILTER(SPLIT(E101, CHAR(10)), NOT(REGEXMATCH(SPLIT(E101, CHAR(10)), "" name is too long""))))
   "&amp;"),
   """"
)"),"linha 6: Multiple empty lines are not allowed
linha 7: Multiple empty lines are not allowed
linha 17: Multiple empty lines are not allowed
linha 18: Multiple empty lines are not allowed
linha 27: Multiple empty lines are not allowed
linha 28: Multiple emp"&amp;"ty lines are not allowed
linha 39: Multiple empty lines are not allowed
linha 40: Multiple empty lines are not allowed
linha 50: Multiple empty lines are not allowed
linha 51: Multiple empty lines are not allowed
linha 59: Step ""When I follow ""Repositor"&amp;"ies"" in the content area"" should not appear after step using keyword then
linha 64: Multiple empty lines are not allowed
linha 65: Multiple empty lines are not allowed
linha 72: Step ""When I follow ""Repositories"" in the content area"" should not appe"&amp;"ar after step using keyword then
linha 77: Multiple empty lines are not allowed
linha 78: Multiple empty lines are not allowed
linha 86: Step ""When I follow ""Repositories"" in the content area"" should not appear after step using keyword then
linha 91: "&amp;"Multiple empty lines are not allowed
linha 92: Multiple empty lines are not allowed
linha 100: Step ""When I follow ""Repositories"" in the content area"" should not appear after step using keyword then
linha 105: Multiple empty lines are not allowed
linh"&amp;"a 106: Multiple empty lines are not allowed
linha 116: Multiple empty lines are not allowed
linha 117: Multiple empty lines are not allowed
linha 124: Step ""When I follow ""Repositories"" in the content area"" should not appear after step using keyword t"&amp;"hen
linha 129: Multiple empty lines are not allowed
linha 130: Multiple empty lines are not allowed
linha 140: Multiple empty lines are not allowed
linha 141: Multiple empty lines are not allowed
linha 152: Multiple empty lines are not allowed
linha 153: "&amp;"Multiple empty lines are not allowed
linha 163: Multiple empty lines are not allowed
linha 164: Multiple empty lines are not allowed
linha 172: Step ""When I follow ""Repositories"" in the content area"" should not appear after step using keyword then
lin"&amp;"ha 177: Multiple empty lines are not allowed
linha 178: Multiple empty lines are not allowed")</f>
        <v>linha 6: Multiple empty lines are not allowed
linha 7: Multiple empty lines are not allowed
linha 17: Multiple empty lines are not allowed
linha 18: Multiple empty lines are not allowed
linha 27: Multiple empty lines are not allowed
linha 28: Multiple empty lines are not allowed
linha 39: Multiple empty lines are not allowed
linha 40: Multiple empty lines are not allowed
linha 50: Multiple empty lines are not allowed
linha 51: Multiple empty lines are not allowed
linha 59: Step "When I follow "Repositories" in the content area" should not appear after step using keyword then
linha 64: Multiple empty lines are not allowed
linha 65: Multiple empty lines are not allowed
linha 72: Step "When I follow "Repositories" in the content area" should not appear after step using keyword then
linha 77: Multiple empty lines are not allowed
linha 78: Multiple empty lines are not allowed
linha 86: Step "When I follow "Repositories" in the content area" should not appear after step using keyword then
linha 91: Multiple empty lines are not allowed
linha 92: Multiple empty lines are not allowed
linha 100: Step "When I follow "Repositories" in the content area" should not appear after step using keyword then
linha 105: Multiple empty lines are not allowed
linha 106: Multiple empty lines are not allowed
linha 116: Multiple empty lines are not allowed
linha 117: Multiple empty lines are not allowed
linha 124: Step "When I follow "Repositories" in the content area" should not appear after step using keyword then
linha 129: Multiple empty lines are not allowed
linha 130: Multiple empty lines are not allowed
linha 140: Multiple empty lines are not allowed
linha 141: Multiple empty lines are not allowed
linha 152: Multiple empty lines are not allowed
linha 153: Multiple empty lines are not allowed
linha 163: Multiple empty lines are not allowed
linha 164: Multiple empty lines are not allowed
linha 172: Step "When I follow "Repositories" in the content area" should not appear after step using keyword then
linha 177: Multiple empty lines are not allowed
linha 178: Multiple empty lines are not allowed</v>
      </c>
      <c r="H101" s="20">
        <f>IFERROR(__xludf.DUMMYFUNCTION("IF(G101="""", 0, COUNTA(SPLIT(G101, CHAR(10))))"),36.0)</f>
        <v>36</v>
      </c>
      <c r="I101" s="11" t="s">
        <v>742</v>
      </c>
      <c r="J101" s="20">
        <f>IFERROR(__xludf.DUMMYFUNCTION("IF(I101="""", 0, COUNTA(SPLIT(I101, CHAR(10))))"),20.0)</f>
        <v>20</v>
      </c>
      <c r="K101" s="11" t="str">
        <f>IFERROR(__xludf.DUMMYFUNCTION("IFERROR(
   IF(
     COUNTA(FILTER(SPLIT(I101, CHAR(10)), NOT(REGEXMATCH(SPLIT(I101, CHAR(10)), "" name is too long"")))) = 0,
     """",
     JOIN(CHAR(10), FILTER(SPLIT(I101, CHAR(10)), NOT(REGEXMATCH(SPLIT(I101, CHAR(10)), "" name is too long""))))
   "&amp;"),
   """"
)"),"linha 59: Step ""When I follow ""Repositories"" in the content area"" should not appear after step using keyword then
linha 72: Step ""When I follow ""Repositories"" in the content area"" should not appear after step using keyword then
linha 86: Step ""Wh"&amp;"en I follow ""Repositories"" in the content area"" should not appear after step using keyword then
linha 100: Step ""When I follow ""Repositories"" in the content area"" should not appear after step using keyword then
linha 124: Step ""When I follow ""Rep"&amp;"ositories"" in the content area"" should not appear after step using keyword then
linha 172: Step ""When I follow ""Repositories"" in the content area"" should not appear after step using keyword then")</f>
        <v>linha 59: Step "When I follow "Repositories" in the content area" should not appear after step using keyword then
linha 72: Step "When I follow "Repositories" in the content area" should not appear after step using keyword then
linha 86: Step "When I follow "Repositories" in the content area" should not appear after step using keyword then
linha 100: Step "When I follow "Repositories" in the content area" should not appear after step using keyword then
linha 124: Step "When I follow "Repositories" in the content area" should not appear after step using keyword then
linha 172: Step "When I follow "Repositories" in the content area" should not appear after step using keyword then</v>
      </c>
      <c r="L101" s="20">
        <f>IFERROR(__xludf.DUMMYFUNCTION("IF(K101="""", 0, COUNTA(SPLIT(K101, CHAR(10))))"),6.0)</f>
        <v>6</v>
      </c>
    </row>
    <row r="102">
      <c r="A102" s="18" t="s">
        <v>434</v>
      </c>
      <c r="B102" s="18" t="s">
        <v>435</v>
      </c>
      <c r="C102" s="18" t="s">
        <v>743</v>
      </c>
      <c r="D102" s="19">
        <v>17.0</v>
      </c>
      <c r="E102" s="11" t="s">
        <v>744</v>
      </c>
      <c r="F102" s="20">
        <f>IFERROR(__xludf.DUMMYFUNCTION("IF(E102="""", 0, COUNTA(SPLIT(E102, CHAR(10))))"),9.0)</f>
        <v>9</v>
      </c>
      <c r="G102" s="11" t="str">
        <f>IFERROR(__xludf.DUMMYFUNCTION("IFERROR(
   IF(
     COUNTA(FILTER(SPLIT(E102, CHAR(10)), NOT(REGEXMATCH(SPLIT(E102, CHAR(10)), "" name is too long"")))) = 0,
     """",
     JOIN(CHAR(10), FILTER(SPLIT(E102, CHAR(10)), NOT(REGEXMATCH(SPLIT(E102, CHAR(10)), "" name is too long""))))
   "&amp;"),
   """"
)"),"linha 8: Step ""When the network moves ahead ""52"" blocks"" should not appear after step using keyword then
linha 11: Multiple empty lines are not allowed
linha 12: Multiple empty lines are not allowed
linha 18: Multiple empty lines are not allowed
linha"&amp;" 19: Multiple empty lines are not allowed")</f>
        <v>linha 8: Step "When the network moves ahead "52" blocks" should not appear after step using keyword then
linha 11: Multiple empty lines are not allowed
linha 12: Multiple empty lines are not allowed
linha 18: Multiple empty lines are not allowed
linha 19: Multiple empty lines are not allowed</v>
      </c>
      <c r="H102" s="20">
        <f>IFERROR(__xludf.DUMMYFUNCTION("IF(G102="""", 0, COUNTA(SPLIT(G102, CHAR(10))))"),5.0)</f>
        <v>5</v>
      </c>
      <c r="I102" s="11" t="s">
        <v>745</v>
      </c>
      <c r="J102" s="20">
        <f>IFERROR(__xludf.DUMMYFUNCTION("IF(I102="""", 0, COUNTA(SPLIT(I102, CHAR(10))))"),5.0)</f>
        <v>5</v>
      </c>
      <c r="K102" s="11" t="str">
        <f>IFERROR(__xludf.DUMMYFUNCTION("IFERROR(
   IF(
     COUNTA(FILTER(SPLIT(I102, CHAR(10)), NOT(REGEXMATCH(SPLIT(I102, CHAR(10)), "" name is too long"")))) = 0,
     """",
     JOIN(CHAR(10), FILTER(SPLIT(I102, CHAR(10)), NOT(REGEXMATCH(SPLIT(I102, CHAR(10)), "" name is too long""))))
   "&amp;"),
   """"
)"),"linha 8: Step ""When the network moves ahead ""52"" blocks"" should not appear after step using keyword then")</f>
        <v>linha 8: Step "When the network moves ahead "52" blocks" should not appear after step using keyword then</v>
      </c>
      <c r="L102" s="20">
        <f>IFERROR(__xludf.DUMMYFUNCTION("IF(K102="""", 0, COUNTA(SPLIT(K102, CHAR(10))))"),1.0)</f>
        <v>1</v>
      </c>
    </row>
    <row r="103">
      <c r="A103" s="18" t="s">
        <v>439</v>
      </c>
      <c r="B103" s="18" t="s">
        <v>435</v>
      </c>
      <c r="C103" s="18" t="s">
        <v>746</v>
      </c>
      <c r="D103" s="19">
        <v>16.0</v>
      </c>
      <c r="E103" s="11" t="s">
        <v>747</v>
      </c>
      <c r="F103" s="20">
        <f>IFERROR(__xludf.DUMMYFUNCTION("IF(E103="""", 0, COUNTA(SPLIT(E103, CHAR(10))))"),6.0)</f>
        <v>6</v>
      </c>
      <c r="G103" s="11" t="str">
        <f>IFERROR(__xludf.DUMMYFUNCTION("IFERROR(
   IF(
     COUNTA(FILTER(SPLIT(E103, CHAR(10)), NOT(REGEXMATCH(SPLIT(E103, CHAR(10)), "" name is too long"")))) = 0,
     """",
     JOIN(CHAR(10), FILTER(SPLIT(E103, CHAR(10)), NOT(REGEXMATCH(SPLIT(E103, CHAR(10)), "" name is too long""))))
   "&amp;"),
   """"
)"),"linha 9: Step ""When the network moves ahead ""1"" blocks"" should not appear after step using keyword then
linha 15: Multiple empty lines are not allowed
linha 16: Multiple empty lines are not allowed")</f>
        <v>linha 9: Step "When the network moves ahead "1" blocks" should not appear after step using keyword then
linha 15: Multiple empty lines are not allowed
linha 16: Multiple empty lines are not allowed</v>
      </c>
      <c r="H103" s="20">
        <f>IFERROR(__xludf.DUMMYFUNCTION("IF(G103="""", 0, COUNTA(SPLIT(G103, CHAR(10))))"),3.0)</f>
        <v>3</v>
      </c>
      <c r="I103" s="11" t="s">
        <v>748</v>
      </c>
      <c r="J103" s="20">
        <f>IFERROR(__xludf.DUMMYFUNCTION("IF(I103="""", 0, COUNTA(SPLIT(I103, CHAR(10))))"),4.0)</f>
        <v>4</v>
      </c>
      <c r="K103" s="11" t="str">
        <f>IFERROR(__xludf.DUMMYFUNCTION("IFERROR(
   IF(
     COUNTA(FILTER(SPLIT(I103, CHAR(10)), NOT(REGEXMATCH(SPLIT(I103, CHAR(10)), "" name is too long"")))) = 0,
     """",
     JOIN(CHAR(10), FILTER(SPLIT(I103, CHAR(10)), NOT(REGEXMATCH(SPLIT(I103, CHAR(10)), "" name is too long""))))
   "&amp;"),
   """"
)"),"linha 9: Step ""When the network moves ahead ""1"" blocks"" should not appear after step using keyword then")</f>
        <v>linha 9: Step "When the network moves ahead "1" blocks" should not appear after step using keyword then</v>
      </c>
      <c r="L103" s="20">
        <f>IFERROR(__xludf.DUMMYFUNCTION("IF(K103="""", 0, COUNTA(SPLIT(K103, CHAR(10))))"),1.0)</f>
        <v>1</v>
      </c>
    </row>
    <row r="104">
      <c r="A104" s="18" t="s">
        <v>443</v>
      </c>
      <c r="B104" s="18" t="s">
        <v>435</v>
      </c>
      <c r="C104" s="18" t="s">
        <v>749</v>
      </c>
      <c r="D104" s="19">
        <v>5.0</v>
      </c>
      <c r="E104" s="11" t="s">
        <v>750</v>
      </c>
      <c r="F104" s="20">
        <f>IFERROR(__xludf.DUMMYFUNCTION("IF(E104="""", 0, COUNTA(SPLIT(E104, CHAR(10))))"),3.0)</f>
        <v>3</v>
      </c>
      <c r="G104" s="11" t="str">
        <f>IFERROR(__xludf.DUMMYFUNCTION("IFERROR(
   IF(
     COUNTA(FILTER(SPLIT(E104, CHAR(10)), NOT(REGEXMATCH(SPLIT(E104, CHAR(10)), "" name is too long"")))) = 0,
     """",
     JOIN(CHAR(10), FILTER(SPLIT(E104, CHAR(10)), NOT(REGEXMATCH(SPLIT(E104, CHAR(10)), "" name is too long""))))
   "&amp;"),
   """"
)"),"linha 7: Multiple empty lines are not allowed
linha 8: Multiple empty lines are not allowed")</f>
        <v>linha 7: Multiple empty lines are not allowed
linha 8: Multiple empty lines are not allowed</v>
      </c>
      <c r="H104" s="20">
        <f>IFERROR(__xludf.DUMMYFUNCTION("IF(G104="""", 0, COUNTA(SPLIT(G104, CHAR(10))))"),2.0)</f>
        <v>2</v>
      </c>
      <c r="I104" s="11" t="s">
        <v>751</v>
      </c>
      <c r="J104" s="20">
        <f>IFERROR(__xludf.DUMMYFUNCTION("IF(I104="""", 0, COUNTA(SPLIT(I104, CHAR(10))))"),1.0)</f>
        <v>1</v>
      </c>
      <c r="K104" s="11" t="str">
        <f>IFERROR(__xludf.DUMMYFUNCTION("IFERROR(
   IF(
     COUNTA(FILTER(SPLIT(I104, CHAR(10)), NOT(REGEXMATCH(SPLIT(I104, CHAR(10)), "" name is too long"")))) = 0,
     """",
     JOIN(CHAR(10), FILTER(SPLIT(I104, CHAR(10)), NOT(REGEXMATCH(SPLIT(I104, CHAR(10)), "" name is too long""))))
   "&amp;"),
   """"
)"),"")</f>
        <v/>
      </c>
      <c r="L104" s="20">
        <f>IFERROR(__xludf.DUMMYFUNCTION("IF(K104="""", 0, COUNTA(SPLIT(K104, CHAR(10))))"),0.0)</f>
        <v>0</v>
      </c>
    </row>
    <row r="105">
      <c r="A105" s="18" t="s">
        <v>447</v>
      </c>
      <c r="B105" s="18" t="s">
        <v>435</v>
      </c>
      <c r="C105" s="18" t="s">
        <v>752</v>
      </c>
      <c r="D105" s="19">
        <v>4.0</v>
      </c>
      <c r="E105" s="11" t="s">
        <v>752</v>
      </c>
      <c r="F105" s="20">
        <f>IFERROR(__xludf.DUMMYFUNCTION("IF(E105="""", 0, COUNTA(SPLIT(E105, CHAR(10))))"),4.0)</f>
        <v>4</v>
      </c>
      <c r="G105" s="11" t="str">
        <f>IFERROR(__xludf.DUMMYFUNCTION("IFERROR(
   IF(
     COUNTA(FILTER(SPLIT(E105, CHAR(10)), NOT(REGEXMATCH(SPLIT(E105, CHAR(10)), "" name is too long"")))) = 0,
     """",
     JOIN(CHAR(10), FILTER(SPLIT(E105, CHAR(10)), NOT(REGEXMATCH(SPLIT(E105, CHAR(10)), "" name is too long""))))
   "&amp;"),
   """"
)"),"linha 5: Multiple empty lines are not allowed
linha 6: Multiple empty lines are not allowed
linha 7: Multiple empty lines are not allowed")</f>
        <v>linha 5: Multiple empty lines are not allowed
linha 6: Multiple empty lines are not allowed
linha 7: Multiple empty lines are not allowed</v>
      </c>
      <c r="H105" s="20">
        <f>IFERROR(__xludf.DUMMYFUNCTION("IF(G105="""", 0, COUNTA(SPLIT(G105, CHAR(10))))"),3.0)</f>
        <v>3</v>
      </c>
      <c r="I105" s="11" t="s">
        <v>753</v>
      </c>
      <c r="J105" s="20">
        <f>IFERROR(__xludf.DUMMYFUNCTION("IF(I105="""", 0, COUNTA(SPLIT(I105, CHAR(10))))"),1.0)</f>
        <v>1</v>
      </c>
      <c r="K105" s="11" t="str">
        <f>IFERROR(__xludf.DUMMYFUNCTION("IFERROR(
   IF(
     COUNTA(FILTER(SPLIT(I105, CHAR(10)), NOT(REGEXMATCH(SPLIT(I105, CHAR(10)), "" name is too long"")))) = 0,
     """",
     JOIN(CHAR(10), FILTER(SPLIT(I105, CHAR(10)), NOT(REGEXMATCH(SPLIT(I105, CHAR(10)), "" name is too long""))))
   "&amp;"),
   """"
)"),"")</f>
        <v/>
      </c>
      <c r="L105" s="20">
        <f>IFERROR(__xludf.DUMMYFUNCTION("IF(K105="""", 0, COUNTA(SPLIT(K105, CHAR(10))))"),0.0)</f>
        <v>0</v>
      </c>
    </row>
    <row r="106">
      <c r="A106" s="18"/>
      <c r="B106" s="18"/>
      <c r="C106" s="18"/>
      <c r="D106" s="19"/>
      <c r="F106" s="20"/>
      <c r="J106" s="20"/>
    </row>
    <row r="107">
      <c r="A107" s="18"/>
      <c r="B107" s="18"/>
      <c r="C107" s="18"/>
      <c r="D107" s="19"/>
      <c r="F107" s="20"/>
      <c r="J107" s="20"/>
    </row>
    <row r="108">
      <c r="A108" s="18"/>
      <c r="B108" s="18"/>
      <c r="C108" s="18"/>
      <c r="D108" s="19"/>
      <c r="F108" s="20"/>
      <c r="J108" s="20"/>
    </row>
    <row r="109">
      <c r="A109" s="18"/>
      <c r="B109" s="18"/>
      <c r="C109" s="18"/>
      <c r="D109" s="19"/>
      <c r="F109" s="20"/>
      <c r="J109" s="20"/>
    </row>
    <row r="110">
      <c r="A110" s="18"/>
      <c r="B110" s="18"/>
      <c r="C110" s="18"/>
      <c r="D110" s="19"/>
      <c r="F110" s="20"/>
      <c r="J110" s="20"/>
    </row>
    <row r="111">
      <c r="A111" s="18"/>
      <c r="B111" s="18"/>
      <c r="C111" s="18"/>
      <c r="D111" s="19"/>
      <c r="F111" s="20"/>
      <c r="J111" s="20"/>
    </row>
    <row r="112">
      <c r="A112" s="18"/>
      <c r="B112" s="18"/>
      <c r="C112" s="18"/>
      <c r="D112" s="19"/>
      <c r="F112" s="20"/>
      <c r="J112" s="20"/>
    </row>
    <row r="113">
      <c r="A113" s="18"/>
      <c r="B113" s="18"/>
      <c r="C113" s="18"/>
      <c r="D113" s="19"/>
      <c r="F113" s="20"/>
      <c r="J113" s="20"/>
    </row>
    <row r="114">
      <c r="A114" s="18"/>
      <c r="B114" s="18"/>
      <c r="C114" s="18"/>
      <c r="D114" s="19"/>
      <c r="F114" s="20"/>
      <c r="J114" s="20"/>
    </row>
    <row r="115">
      <c r="A115" s="18"/>
      <c r="B115" s="18"/>
      <c r="C115" s="18"/>
      <c r="D115" s="19"/>
      <c r="F115" s="20"/>
      <c r="J115" s="20"/>
    </row>
    <row r="116">
      <c r="A116" s="18"/>
      <c r="B116" s="18"/>
      <c r="C116" s="18"/>
      <c r="D116" s="19"/>
      <c r="F116" s="20"/>
      <c r="J116" s="20"/>
    </row>
    <row r="117">
      <c r="A117" s="18"/>
      <c r="B117" s="18"/>
      <c r="C117" s="18"/>
      <c r="D117" s="19"/>
      <c r="F117" s="20"/>
      <c r="J117" s="20"/>
    </row>
    <row r="118">
      <c r="A118" s="18"/>
      <c r="B118" s="18"/>
      <c r="C118" s="18"/>
      <c r="D118" s="19"/>
      <c r="F118" s="20"/>
      <c r="J118" s="20"/>
    </row>
    <row r="119">
      <c r="A119" s="18"/>
      <c r="B119" s="18"/>
      <c r="C119" s="18"/>
      <c r="D119" s="19"/>
      <c r="F119" s="20"/>
      <c r="J119" s="20"/>
    </row>
    <row r="120">
      <c r="A120" s="18"/>
      <c r="B120" s="18"/>
      <c r="C120" s="18"/>
      <c r="D120" s="19"/>
      <c r="F120" s="20"/>
      <c r="J120" s="20"/>
    </row>
    <row r="121">
      <c r="A121" s="18"/>
      <c r="B121" s="18"/>
      <c r="C121" s="18"/>
      <c r="D121" s="19"/>
      <c r="F121" s="20"/>
      <c r="J121" s="20"/>
    </row>
    <row r="122">
      <c r="A122" s="18"/>
      <c r="B122" s="18"/>
      <c r="C122" s="18"/>
      <c r="D122" s="19"/>
      <c r="F122" s="20"/>
      <c r="J122" s="20"/>
    </row>
    <row r="123">
      <c r="A123" s="18"/>
      <c r="B123" s="18"/>
      <c r="C123" s="18"/>
      <c r="D123" s="19"/>
      <c r="F123" s="20"/>
      <c r="J123" s="20"/>
    </row>
    <row r="124">
      <c r="A124" s="18"/>
      <c r="B124" s="18"/>
      <c r="C124" s="18"/>
      <c r="D124" s="19"/>
      <c r="F124" s="20"/>
      <c r="J124" s="20"/>
    </row>
    <row r="125">
      <c r="A125" s="18"/>
      <c r="B125" s="18"/>
      <c r="C125" s="18"/>
      <c r="D125" s="19"/>
      <c r="F125" s="20"/>
      <c r="J125" s="20"/>
    </row>
    <row r="126">
      <c r="A126" s="18"/>
      <c r="B126" s="18"/>
      <c r="C126" s="18"/>
      <c r="D126" s="19"/>
      <c r="F126" s="20"/>
      <c r="J126" s="20"/>
    </row>
    <row r="127">
      <c r="A127" s="18"/>
      <c r="B127" s="18"/>
      <c r="C127" s="18"/>
      <c r="D127" s="19"/>
      <c r="F127" s="20"/>
      <c r="J127" s="20"/>
    </row>
    <row r="128">
      <c r="A128" s="18"/>
      <c r="B128" s="18"/>
      <c r="C128" s="18"/>
      <c r="D128" s="19"/>
      <c r="F128" s="20"/>
      <c r="J128" s="20"/>
    </row>
    <row r="129">
      <c r="A129" s="18"/>
      <c r="B129" s="18"/>
      <c r="C129" s="18"/>
      <c r="D129" s="19"/>
      <c r="F129" s="20"/>
      <c r="J129" s="20"/>
    </row>
    <row r="130">
      <c r="A130" s="18"/>
      <c r="B130" s="18"/>
      <c r="C130" s="18"/>
      <c r="D130" s="19"/>
      <c r="F130" s="20"/>
      <c r="J130" s="20"/>
    </row>
    <row r="131">
      <c r="A131" s="18"/>
      <c r="B131" s="18"/>
      <c r="C131" s="18"/>
      <c r="D131" s="19"/>
      <c r="F131" s="20"/>
      <c r="J131" s="20"/>
    </row>
    <row r="132">
      <c r="A132" s="18"/>
      <c r="B132" s="18"/>
      <c r="C132" s="18"/>
      <c r="D132" s="19"/>
      <c r="F132" s="20"/>
      <c r="J132" s="20"/>
    </row>
    <row r="133">
      <c r="A133" s="18"/>
      <c r="B133" s="18"/>
      <c r="C133" s="18"/>
      <c r="D133" s="19"/>
      <c r="F133" s="20"/>
      <c r="J133" s="20"/>
    </row>
    <row r="134">
      <c r="A134" s="18"/>
      <c r="B134" s="18"/>
      <c r="C134" s="18"/>
      <c r="D134" s="19"/>
      <c r="F134" s="20"/>
      <c r="J134" s="20"/>
    </row>
    <row r="135">
      <c r="A135" s="18"/>
      <c r="B135" s="18"/>
      <c r="C135" s="18"/>
      <c r="D135" s="19"/>
      <c r="F135" s="20"/>
      <c r="J135" s="20"/>
    </row>
    <row r="136">
      <c r="A136" s="18"/>
      <c r="B136" s="18"/>
      <c r="C136" s="18"/>
      <c r="D136" s="19"/>
      <c r="F136" s="20"/>
      <c r="J136" s="20"/>
    </row>
    <row r="137">
      <c r="A137" s="18"/>
      <c r="B137" s="18"/>
      <c r="C137" s="18"/>
      <c r="D137" s="19"/>
      <c r="F137" s="20"/>
      <c r="J137" s="20"/>
    </row>
    <row r="138">
      <c r="A138" s="18"/>
      <c r="B138" s="18"/>
      <c r="C138" s="18"/>
      <c r="D138" s="19"/>
      <c r="F138" s="20"/>
      <c r="J138" s="20"/>
    </row>
    <row r="139">
      <c r="A139" s="18"/>
      <c r="B139" s="18"/>
      <c r="C139" s="18"/>
      <c r="D139" s="19"/>
      <c r="F139" s="20"/>
      <c r="J139" s="20"/>
    </row>
    <row r="140">
      <c r="A140" s="18"/>
      <c r="B140" s="18"/>
      <c r="C140" s="18"/>
      <c r="D140" s="19"/>
      <c r="F140" s="20"/>
      <c r="J140" s="20"/>
    </row>
    <row r="141">
      <c r="A141" s="18"/>
      <c r="B141" s="18"/>
      <c r="C141" s="18"/>
      <c r="D141" s="19"/>
      <c r="F141" s="20"/>
      <c r="J141" s="20"/>
    </row>
    <row r="142">
      <c r="A142" s="18"/>
      <c r="B142" s="18"/>
      <c r="C142" s="18"/>
      <c r="D142" s="19"/>
      <c r="F142" s="20"/>
      <c r="J142" s="20"/>
    </row>
    <row r="143">
      <c r="A143" s="18"/>
      <c r="B143" s="18"/>
      <c r="C143" s="18"/>
      <c r="D143" s="19"/>
      <c r="F143" s="20"/>
      <c r="J143" s="20"/>
    </row>
    <row r="144">
      <c r="A144" s="18"/>
      <c r="B144" s="18"/>
      <c r="C144" s="18"/>
      <c r="D144" s="19"/>
      <c r="F144" s="20"/>
      <c r="J144" s="20"/>
    </row>
    <row r="145">
      <c r="A145" s="18"/>
      <c r="B145" s="18"/>
      <c r="C145" s="18"/>
      <c r="D145" s="19"/>
      <c r="F145" s="20"/>
      <c r="J145" s="20"/>
    </row>
    <row r="146">
      <c r="A146" s="18"/>
      <c r="B146" s="18"/>
      <c r="C146" s="18"/>
      <c r="D146" s="19"/>
      <c r="F146" s="20"/>
      <c r="J146" s="20"/>
    </row>
    <row r="147">
      <c r="A147" s="18"/>
      <c r="B147" s="18"/>
      <c r="C147" s="18"/>
      <c r="D147" s="19"/>
      <c r="F147" s="20"/>
      <c r="J147" s="20"/>
    </row>
    <row r="148">
      <c r="A148" s="18"/>
      <c r="B148" s="18"/>
      <c r="C148" s="18"/>
      <c r="D148" s="19"/>
      <c r="F148" s="20"/>
      <c r="J148" s="20"/>
    </row>
    <row r="149">
      <c r="A149" s="18"/>
      <c r="B149" s="18"/>
      <c r="C149" s="18"/>
      <c r="D149" s="19"/>
      <c r="F149" s="20"/>
      <c r="J149" s="20"/>
    </row>
    <row r="150">
      <c r="A150" s="18"/>
      <c r="B150" s="18"/>
      <c r="C150" s="18"/>
      <c r="D150" s="19"/>
      <c r="F150" s="20"/>
      <c r="J150" s="20"/>
    </row>
    <row r="151">
      <c r="A151" s="18"/>
      <c r="B151" s="18"/>
      <c r="C151" s="18"/>
      <c r="D151" s="19"/>
      <c r="F151" s="20"/>
      <c r="J151" s="20"/>
    </row>
    <row r="152">
      <c r="A152" s="18"/>
      <c r="B152" s="18"/>
      <c r="C152" s="18"/>
      <c r="D152" s="19"/>
      <c r="F152" s="20"/>
      <c r="J152" s="20"/>
    </row>
    <row r="153">
      <c r="A153" s="18"/>
      <c r="B153" s="18"/>
      <c r="C153" s="18"/>
      <c r="D153" s="19"/>
      <c r="F153" s="20"/>
      <c r="J153" s="20"/>
    </row>
    <row r="154">
      <c r="A154" s="18"/>
      <c r="B154" s="18"/>
      <c r="C154" s="18"/>
      <c r="D154" s="19"/>
      <c r="F154" s="20"/>
      <c r="J154" s="20"/>
    </row>
    <row r="155">
      <c r="A155" s="18"/>
      <c r="B155" s="18"/>
      <c r="C155" s="18"/>
      <c r="D155" s="19"/>
      <c r="F155" s="20"/>
      <c r="J155" s="20"/>
    </row>
    <row r="156">
      <c r="A156" s="18"/>
      <c r="B156" s="18"/>
      <c r="C156" s="18"/>
      <c r="D156" s="19"/>
      <c r="F156" s="20"/>
      <c r="J156" s="20"/>
    </row>
    <row r="157">
      <c r="A157" s="18"/>
      <c r="B157" s="18"/>
      <c r="C157" s="18"/>
      <c r="D157" s="19"/>
      <c r="F157" s="20"/>
      <c r="J157" s="20"/>
    </row>
    <row r="158">
      <c r="A158" s="18"/>
      <c r="B158" s="18"/>
      <c r="C158" s="18"/>
      <c r="D158" s="19"/>
      <c r="F158" s="20"/>
      <c r="J158" s="20"/>
    </row>
    <row r="159">
      <c r="A159" s="18"/>
      <c r="B159" s="18"/>
      <c r="C159" s="18"/>
      <c r="D159" s="19"/>
      <c r="F159" s="20"/>
      <c r="J159" s="20"/>
    </row>
    <row r="160">
      <c r="A160" s="18"/>
      <c r="B160" s="18"/>
      <c r="C160" s="18"/>
      <c r="D160" s="19"/>
      <c r="F160" s="20"/>
      <c r="J160" s="20"/>
    </row>
    <row r="161">
      <c r="A161" s="18"/>
      <c r="B161" s="18"/>
      <c r="C161" s="18"/>
      <c r="D161" s="19"/>
      <c r="F161" s="20"/>
      <c r="J161" s="20"/>
    </row>
    <row r="162">
      <c r="A162" s="18"/>
      <c r="B162" s="18"/>
      <c r="C162" s="18"/>
      <c r="D162" s="19"/>
      <c r="F162" s="20"/>
      <c r="J162" s="20"/>
    </row>
    <row r="163">
      <c r="A163" s="18"/>
      <c r="B163" s="18"/>
      <c r="C163" s="18"/>
      <c r="D163" s="19"/>
      <c r="F163" s="20"/>
      <c r="J163" s="20"/>
    </row>
    <row r="164">
      <c r="A164" s="18"/>
      <c r="B164" s="18"/>
      <c r="C164" s="18"/>
      <c r="D164" s="19"/>
      <c r="F164" s="20"/>
      <c r="J164" s="20"/>
    </row>
    <row r="165">
      <c r="A165" s="18"/>
      <c r="B165" s="18"/>
      <c r="C165" s="18"/>
      <c r="D165" s="19"/>
      <c r="F165" s="20"/>
      <c r="J165" s="20"/>
    </row>
    <row r="166">
      <c r="A166" s="18"/>
      <c r="B166" s="18"/>
      <c r="C166" s="18"/>
      <c r="D166" s="19"/>
      <c r="F166" s="20"/>
      <c r="J166" s="20"/>
    </row>
    <row r="167">
      <c r="A167" s="18"/>
      <c r="B167" s="18"/>
      <c r="C167" s="18"/>
      <c r="D167" s="19"/>
      <c r="F167" s="20"/>
      <c r="J167" s="20"/>
    </row>
    <row r="168">
      <c r="A168" s="18"/>
      <c r="B168" s="18"/>
      <c r="C168" s="18"/>
      <c r="D168" s="19"/>
      <c r="F168" s="20"/>
      <c r="J168" s="20"/>
    </row>
    <row r="169">
      <c r="A169" s="18"/>
      <c r="B169" s="18"/>
      <c r="C169" s="18"/>
      <c r="D169" s="19"/>
      <c r="F169" s="20"/>
      <c r="J169" s="20"/>
    </row>
    <row r="170">
      <c r="A170" s="18"/>
      <c r="B170" s="18"/>
      <c r="C170" s="18"/>
      <c r="D170" s="19"/>
      <c r="F170" s="20"/>
      <c r="J170" s="20"/>
    </row>
    <row r="171">
      <c r="A171" s="18"/>
      <c r="B171" s="18"/>
      <c r="C171" s="18"/>
      <c r="D171" s="19"/>
      <c r="F171" s="20"/>
      <c r="J171" s="20"/>
    </row>
    <row r="172">
      <c r="A172" s="18"/>
      <c r="B172" s="18"/>
      <c r="C172" s="18"/>
      <c r="D172" s="19"/>
      <c r="F172" s="20"/>
      <c r="J172" s="20"/>
    </row>
    <row r="173">
      <c r="A173" s="18"/>
      <c r="B173" s="18"/>
      <c r="C173" s="18"/>
      <c r="D173" s="19"/>
      <c r="F173" s="20"/>
      <c r="J173" s="20"/>
    </row>
    <row r="174">
      <c r="A174" s="18"/>
      <c r="B174" s="18"/>
      <c r="C174" s="18"/>
      <c r="D174" s="19"/>
      <c r="F174" s="20"/>
      <c r="J174" s="20"/>
    </row>
    <row r="175">
      <c r="A175" s="18"/>
      <c r="B175" s="18"/>
      <c r="C175" s="18"/>
      <c r="D175" s="19"/>
      <c r="F175" s="20"/>
      <c r="J175" s="20"/>
    </row>
    <row r="176">
      <c r="A176" s="18"/>
      <c r="B176" s="18"/>
      <c r="C176" s="18"/>
      <c r="D176" s="19"/>
      <c r="F176" s="20"/>
      <c r="J176" s="20"/>
    </row>
    <row r="177">
      <c r="A177" s="18"/>
      <c r="B177" s="18"/>
      <c r="C177" s="18"/>
      <c r="D177" s="19"/>
      <c r="F177" s="20"/>
      <c r="J177" s="20"/>
    </row>
    <row r="178">
      <c r="A178" s="18"/>
      <c r="B178" s="18"/>
      <c r="C178" s="18"/>
      <c r="D178" s="19"/>
      <c r="F178" s="20"/>
      <c r="J178" s="20"/>
    </row>
    <row r="179">
      <c r="A179" s="18"/>
      <c r="B179" s="18"/>
      <c r="C179" s="18"/>
      <c r="D179" s="19"/>
      <c r="F179" s="20"/>
      <c r="J179" s="20"/>
    </row>
    <row r="180">
      <c r="A180" s="18"/>
      <c r="B180" s="18"/>
      <c r="C180" s="18"/>
      <c r="D180" s="19"/>
      <c r="F180" s="20"/>
      <c r="J180" s="20"/>
    </row>
    <row r="181">
      <c r="A181" s="18"/>
      <c r="B181" s="18"/>
      <c r="C181" s="18"/>
      <c r="D181" s="19"/>
      <c r="F181" s="20"/>
      <c r="J181" s="20"/>
    </row>
    <row r="182">
      <c r="A182" s="18"/>
      <c r="B182" s="18"/>
      <c r="C182" s="18"/>
      <c r="D182" s="19"/>
      <c r="F182" s="20"/>
      <c r="J182" s="20"/>
    </row>
    <row r="183">
      <c r="A183" s="18"/>
      <c r="B183" s="18"/>
      <c r="C183" s="18"/>
      <c r="D183" s="19"/>
      <c r="F183" s="20"/>
      <c r="J183" s="20"/>
    </row>
    <row r="184">
      <c r="A184" s="18"/>
      <c r="B184" s="18"/>
      <c r="C184" s="18"/>
      <c r="D184" s="19"/>
      <c r="F184" s="20"/>
      <c r="J184" s="20"/>
    </row>
    <row r="185">
      <c r="A185" s="18"/>
      <c r="B185" s="18"/>
      <c r="C185" s="18"/>
      <c r="D185" s="19"/>
      <c r="F185" s="20"/>
      <c r="J185" s="20"/>
    </row>
    <row r="186">
      <c r="A186" s="18"/>
      <c r="B186" s="18"/>
      <c r="C186" s="18"/>
      <c r="D186" s="19"/>
      <c r="F186" s="20"/>
      <c r="J186" s="20"/>
    </row>
    <row r="187">
      <c r="A187" s="18"/>
      <c r="B187" s="18"/>
      <c r="C187" s="18"/>
      <c r="D187" s="19"/>
      <c r="F187" s="20"/>
      <c r="J187" s="20"/>
    </row>
    <row r="188">
      <c r="A188" s="18"/>
      <c r="B188" s="18"/>
      <c r="C188" s="18"/>
      <c r="D188" s="19"/>
      <c r="F188" s="20"/>
      <c r="J188" s="20"/>
    </row>
    <row r="189">
      <c r="A189" s="18"/>
      <c r="B189" s="18"/>
      <c r="C189" s="18"/>
      <c r="D189" s="19"/>
      <c r="F189" s="20"/>
      <c r="J189" s="20"/>
    </row>
    <row r="190">
      <c r="A190" s="18"/>
      <c r="B190" s="18"/>
      <c r="C190" s="18"/>
      <c r="D190" s="19"/>
      <c r="F190" s="20"/>
      <c r="J190" s="20"/>
    </row>
    <row r="191">
      <c r="A191" s="18"/>
      <c r="B191" s="18"/>
      <c r="C191" s="18"/>
      <c r="D191" s="19"/>
      <c r="F191" s="20"/>
      <c r="J191" s="20"/>
    </row>
    <row r="192">
      <c r="A192" s="18"/>
      <c r="B192" s="18"/>
      <c r="C192" s="18"/>
      <c r="D192" s="19"/>
      <c r="F192" s="20"/>
      <c r="J192" s="20"/>
    </row>
    <row r="193">
      <c r="A193" s="18"/>
      <c r="B193" s="18"/>
      <c r="C193" s="18"/>
      <c r="D193" s="19"/>
      <c r="F193" s="20"/>
      <c r="J193" s="20"/>
    </row>
    <row r="194">
      <c r="A194" s="18"/>
      <c r="B194" s="18"/>
      <c r="C194" s="18"/>
      <c r="D194" s="19"/>
      <c r="F194" s="20"/>
      <c r="J194" s="20"/>
    </row>
    <row r="195">
      <c r="A195" s="18"/>
      <c r="B195" s="18"/>
      <c r="C195" s="18"/>
      <c r="D195" s="19"/>
      <c r="F195" s="20"/>
      <c r="J195" s="20"/>
    </row>
    <row r="196">
      <c r="A196" s="18"/>
      <c r="B196" s="18"/>
      <c r="C196" s="18"/>
      <c r="D196" s="19"/>
      <c r="F196" s="20"/>
      <c r="J196" s="20"/>
    </row>
    <row r="197">
      <c r="A197" s="18"/>
      <c r="B197" s="18"/>
      <c r="C197" s="18"/>
      <c r="D197" s="19"/>
      <c r="F197" s="20"/>
      <c r="J197" s="20"/>
    </row>
    <row r="198">
      <c r="A198" s="18"/>
      <c r="B198" s="18"/>
      <c r="C198" s="18"/>
      <c r="D198" s="19"/>
      <c r="F198" s="20"/>
      <c r="J198" s="20"/>
    </row>
    <row r="199">
      <c r="A199" s="18"/>
      <c r="B199" s="18"/>
      <c r="C199" s="18"/>
      <c r="D199" s="19"/>
      <c r="F199" s="20"/>
      <c r="J199" s="20"/>
    </row>
    <row r="200">
      <c r="A200" s="18"/>
      <c r="B200" s="18"/>
      <c r="C200" s="18"/>
      <c r="D200" s="19"/>
      <c r="F200" s="20"/>
      <c r="J200" s="20"/>
    </row>
    <row r="201">
      <c r="A201" s="18"/>
      <c r="B201" s="18"/>
      <c r="C201" s="18"/>
      <c r="D201" s="19"/>
      <c r="F201" s="20"/>
      <c r="J201" s="20"/>
    </row>
    <row r="202">
      <c r="A202" s="18"/>
      <c r="B202" s="18"/>
      <c r="C202" s="18"/>
      <c r="D202" s="19"/>
      <c r="F202" s="20"/>
      <c r="J202" s="20"/>
    </row>
    <row r="203">
      <c r="A203" s="18"/>
      <c r="B203" s="18"/>
      <c r="C203" s="18"/>
      <c r="D203" s="19"/>
      <c r="F203" s="20"/>
      <c r="J203" s="20"/>
    </row>
    <row r="204">
      <c r="A204" s="18"/>
      <c r="B204" s="18"/>
      <c r="C204" s="18"/>
      <c r="D204" s="19"/>
      <c r="F204" s="20"/>
      <c r="J204" s="20"/>
    </row>
    <row r="205">
      <c r="A205" s="18"/>
      <c r="B205" s="18"/>
      <c r="C205" s="18"/>
      <c r="D205" s="19"/>
      <c r="F205" s="20"/>
      <c r="J205" s="20"/>
    </row>
    <row r="206">
      <c r="A206" s="18"/>
      <c r="B206" s="18"/>
      <c r="C206" s="18"/>
      <c r="D206" s="19"/>
      <c r="F206" s="20"/>
      <c r="J206" s="20"/>
    </row>
    <row r="207">
      <c r="A207" s="18"/>
      <c r="B207" s="18"/>
      <c r="C207" s="18"/>
      <c r="D207" s="19"/>
      <c r="F207" s="20"/>
      <c r="J207" s="20"/>
    </row>
    <row r="208">
      <c r="A208" s="18"/>
      <c r="B208" s="18"/>
      <c r="C208" s="18"/>
      <c r="D208" s="19"/>
      <c r="F208" s="20"/>
      <c r="J208" s="20"/>
    </row>
    <row r="209">
      <c r="A209" s="18"/>
      <c r="B209" s="18"/>
      <c r="C209" s="18"/>
      <c r="D209" s="19"/>
      <c r="F209" s="20"/>
      <c r="J209" s="20"/>
    </row>
    <row r="210">
      <c r="A210" s="18"/>
      <c r="B210" s="18"/>
      <c r="C210" s="18"/>
      <c r="D210" s="19"/>
      <c r="F210" s="20"/>
      <c r="J210" s="20"/>
    </row>
    <row r="211">
      <c r="A211" s="18"/>
      <c r="B211" s="18"/>
      <c r="C211" s="18"/>
      <c r="D211" s="19"/>
      <c r="F211" s="20"/>
      <c r="J211" s="20"/>
    </row>
    <row r="212">
      <c r="A212" s="18"/>
      <c r="B212" s="18"/>
      <c r="C212" s="18"/>
      <c r="D212" s="19"/>
      <c r="F212" s="20"/>
      <c r="J212" s="20"/>
    </row>
    <row r="213">
      <c r="A213" s="18"/>
      <c r="B213" s="18"/>
      <c r="C213" s="18"/>
      <c r="D213" s="19"/>
      <c r="F213" s="20"/>
      <c r="J213" s="20"/>
    </row>
    <row r="214">
      <c r="A214" s="18"/>
      <c r="B214" s="18"/>
      <c r="C214" s="18"/>
      <c r="D214" s="19"/>
      <c r="F214" s="20"/>
      <c r="J214" s="20"/>
    </row>
    <row r="215">
      <c r="A215" s="18"/>
      <c r="B215" s="18"/>
      <c r="C215" s="18"/>
      <c r="D215" s="19"/>
      <c r="F215" s="20"/>
      <c r="J215" s="20"/>
    </row>
    <row r="216">
      <c r="A216" s="18"/>
      <c r="B216" s="18"/>
      <c r="C216" s="18"/>
      <c r="D216" s="19"/>
      <c r="F216" s="20"/>
      <c r="J216" s="20"/>
    </row>
    <row r="217">
      <c r="A217" s="18"/>
      <c r="B217" s="18"/>
      <c r="C217" s="18"/>
      <c r="D217" s="19"/>
      <c r="F217" s="20"/>
      <c r="J217" s="20"/>
    </row>
    <row r="218">
      <c r="A218" s="18"/>
      <c r="B218" s="18"/>
      <c r="C218" s="18"/>
      <c r="D218" s="19"/>
      <c r="F218" s="20"/>
      <c r="J218" s="20"/>
    </row>
    <row r="219">
      <c r="A219" s="18"/>
      <c r="B219" s="18"/>
      <c r="C219" s="18"/>
      <c r="D219" s="19"/>
      <c r="F219" s="20"/>
      <c r="J219" s="20"/>
    </row>
    <row r="220">
      <c r="A220" s="18"/>
      <c r="B220" s="18"/>
      <c r="C220" s="18"/>
      <c r="D220" s="19"/>
      <c r="F220" s="20"/>
      <c r="J220" s="20"/>
    </row>
    <row r="221">
      <c r="A221" s="18"/>
      <c r="B221" s="18"/>
      <c r="C221" s="18"/>
      <c r="D221" s="19"/>
      <c r="F221" s="20"/>
      <c r="J221" s="20"/>
    </row>
    <row r="222">
      <c r="A222" s="18"/>
      <c r="B222" s="18"/>
      <c r="C222" s="18"/>
      <c r="D222" s="19"/>
      <c r="F222" s="20"/>
      <c r="J222" s="20"/>
    </row>
    <row r="223">
      <c r="A223" s="18"/>
      <c r="B223" s="18"/>
      <c r="C223" s="18"/>
      <c r="D223" s="19"/>
      <c r="F223" s="20"/>
      <c r="J223" s="20"/>
    </row>
    <row r="224">
      <c r="A224" s="18"/>
      <c r="B224" s="18"/>
      <c r="C224" s="18"/>
      <c r="D224" s="19"/>
      <c r="F224" s="20"/>
      <c r="J224" s="20"/>
    </row>
    <row r="225">
      <c r="A225" s="18"/>
      <c r="B225" s="18"/>
      <c r="C225" s="18"/>
      <c r="D225" s="19"/>
      <c r="F225" s="20"/>
      <c r="J225" s="20"/>
    </row>
    <row r="226">
      <c r="A226" s="18"/>
      <c r="B226" s="18"/>
      <c r="C226" s="18"/>
      <c r="D226" s="19"/>
      <c r="F226" s="20"/>
      <c r="J226" s="20"/>
    </row>
    <row r="227">
      <c r="A227" s="18"/>
      <c r="B227" s="18"/>
      <c r="C227" s="18"/>
      <c r="D227" s="19"/>
      <c r="F227" s="20"/>
      <c r="J227" s="20"/>
    </row>
    <row r="228">
      <c r="A228" s="18"/>
      <c r="B228" s="18"/>
      <c r="C228" s="18"/>
      <c r="D228" s="19"/>
      <c r="F228" s="20"/>
      <c r="J228" s="20"/>
    </row>
    <row r="229">
      <c r="A229" s="18"/>
      <c r="B229" s="18"/>
      <c r="C229" s="18"/>
      <c r="D229" s="19"/>
      <c r="F229" s="20"/>
      <c r="J229" s="20"/>
    </row>
    <row r="230">
      <c r="A230" s="18"/>
      <c r="B230" s="18"/>
      <c r="C230" s="18"/>
      <c r="D230" s="19"/>
      <c r="F230" s="20"/>
      <c r="J230" s="20"/>
    </row>
    <row r="231">
      <c r="A231" s="18"/>
      <c r="B231" s="18"/>
      <c r="C231" s="18"/>
      <c r="D231" s="19"/>
      <c r="F231" s="20"/>
      <c r="J231" s="20"/>
    </row>
    <row r="232">
      <c r="A232" s="18"/>
      <c r="B232" s="18"/>
      <c r="C232" s="18"/>
      <c r="D232" s="19"/>
      <c r="F232" s="20"/>
      <c r="J232" s="20"/>
    </row>
    <row r="233">
      <c r="A233" s="18"/>
      <c r="B233" s="18"/>
      <c r="C233" s="18"/>
      <c r="D233" s="19"/>
      <c r="F233" s="20"/>
      <c r="J233" s="20"/>
    </row>
    <row r="234">
      <c r="A234" s="18"/>
      <c r="B234" s="18"/>
      <c r="C234" s="18"/>
      <c r="D234" s="19"/>
      <c r="F234" s="20"/>
      <c r="J234" s="20"/>
    </row>
    <row r="235">
      <c r="A235" s="18"/>
      <c r="B235" s="18"/>
      <c r="C235" s="18"/>
      <c r="D235" s="19"/>
      <c r="F235" s="20"/>
      <c r="J235" s="20"/>
    </row>
    <row r="236">
      <c r="A236" s="18"/>
      <c r="B236" s="18"/>
      <c r="C236" s="18"/>
      <c r="D236" s="19"/>
      <c r="F236" s="20"/>
      <c r="J236" s="20"/>
    </row>
    <row r="237">
      <c r="A237" s="18"/>
      <c r="B237" s="18"/>
      <c r="C237" s="18"/>
      <c r="D237" s="19"/>
      <c r="F237" s="20"/>
      <c r="J237" s="20"/>
    </row>
    <row r="238">
      <c r="A238" s="18"/>
      <c r="B238" s="18"/>
      <c r="C238" s="18"/>
      <c r="D238" s="19"/>
      <c r="F238" s="20"/>
      <c r="J238" s="20"/>
    </row>
    <row r="239">
      <c r="A239" s="18"/>
      <c r="B239" s="18"/>
      <c r="C239" s="18"/>
      <c r="D239" s="19"/>
      <c r="F239" s="20"/>
      <c r="J239" s="20"/>
    </row>
    <row r="240">
      <c r="A240" s="18"/>
      <c r="B240" s="18"/>
      <c r="C240" s="18"/>
      <c r="D240" s="19"/>
      <c r="F240" s="20"/>
      <c r="J240" s="20"/>
    </row>
    <row r="241">
      <c r="A241" s="18"/>
      <c r="B241" s="18"/>
      <c r="C241" s="18"/>
      <c r="D241" s="19"/>
      <c r="F241" s="20"/>
      <c r="J241" s="20"/>
    </row>
    <row r="242">
      <c r="A242" s="18"/>
      <c r="B242" s="18"/>
      <c r="C242" s="18"/>
      <c r="D242" s="19"/>
      <c r="F242" s="20"/>
      <c r="J242" s="20"/>
    </row>
    <row r="243">
      <c r="A243" s="18"/>
      <c r="B243" s="18"/>
      <c r="C243" s="18"/>
      <c r="D243" s="19"/>
      <c r="F243" s="20"/>
      <c r="J243" s="20"/>
    </row>
    <row r="244">
      <c r="A244" s="18"/>
      <c r="B244" s="18"/>
      <c r="C244" s="18"/>
      <c r="D244" s="19"/>
      <c r="F244" s="20"/>
      <c r="J244" s="20"/>
    </row>
    <row r="245">
      <c r="A245" s="18"/>
      <c r="B245" s="18"/>
      <c r="C245" s="18"/>
      <c r="D245" s="19"/>
      <c r="F245" s="20"/>
      <c r="J245" s="20"/>
    </row>
    <row r="246">
      <c r="A246" s="18"/>
      <c r="B246" s="18"/>
      <c r="C246" s="18"/>
      <c r="D246" s="19"/>
      <c r="F246" s="20"/>
      <c r="J246" s="20"/>
    </row>
    <row r="247">
      <c r="A247" s="18"/>
      <c r="B247" s="18"/>
      <c r="C247" s="18"/>
      <c r="D247" s="19"/>
      <c r="F247" s="20"/>
      <c r="J247" s="20"/>
    </row>
    <row r="248">
      <c r="A248" s="18"/>
      <c r="B248" s="18"/>
      <c r="C248" s="18"/>
      <c r="D248" s="19"/>
      <c r="F248" s="20"/>
      <c r="J248" s="20"/>
    </row>
    <row r="249">
      <c r="A249" s="18"/>
      <c r="B249" s="18"/>
      <c r="C249" s="18"/>
      <c r="D249" s="19"/>
      <c r="F249" s="20"/>
      <c r="J249" s="20"/>
    </row>
    <row r="250">
      <c r="A250" s="18"/>
      <c r="B250" s="18"/>
      <c r="C250" s="18"/>
      <c r="D250" s="19"/>
      <c r="F250" s="20"/>
      <c r="J250" s="20"/>
    </row>
    <row r="251">
      <c r="A251" s="18"/>
      <c r="B251" s="18"/>
      <c r="C251" s="18"/>
      <c r="D251" s="19"/>
      <c r="F251" s="20"/>
      <c r="J251" s="20"/>
    </row>
    <row r="252">
      <c r="A252" s="18"/>
      <c r="B252" s="18"/>
      <c r="C252" s="18"/>
      <c r="D252" s="19"/>
      <c r="F252" s="20"/>
      <c r="J252" s="20"/>
    </row>
    <row r="253">
      <c r="A253" s="18"/>
      <c r="B253" s="18"/>
      <c r="C253" s="18"/>
      <c r="D253" s="19"/>
      <c r="F253" s="20"/>
      <c r="J253" s="20"/>
    </row>
    <row r="254">
      <c r="A254" s="18"/>
      <c r="B254" s="18"/>
      <c r="C254" s="18"/>
      <c r="D254" s="19"/>
      <c r="F254" s="20"/>
      <c r="J254" s="20"/>
    </row>
    <row r="255">
      <c r="A255" s="18"/>
      <c r="B255" s="18"/>
      <c r="C255" s="18"/>
      <c r="D255" s="19"/>
      <c r="F255" s="20"/>
      <c r="J255" s="20"/>
    </row>
    <row r="256">
      <c r="A256" s="18"/>
      <c r="B256" s="18"/>
      <c r="C256" s="18"/>
      <c r="D256" s="19"/>
      <c r="F256" s="20"/>
      <c r="J256" s="20"/>
    </row>
    <row r="257">
      <c r="A257" s="18"/>
      <c r="B257" s="18"/>
      <c r="C257" s="18"/>
      <c r="D257" s="19"/>
      <c r="F257" s="20"/>
      <c r="J257" s="20"/>
    </row>
    <row r="258">
      <c r="A258" s="18"/>
      <c r="B258" s="18"/>
      <c r="C258" s="18"/>
      <c r="D258" s="19"/>
      <c r="F258" s="20"/>
      <c r="J258" s="20"/>
    </row>
    <row r="259">
      <c r="A259" s="18"/>
      <c r="B259" s="18"/>
      <c r="C259" s="18"/>
      <c r="D259" s="19"/>
      <c r="F259" s="20"/>
      <c r="J259" s="20"/>
    </row>
    <row r="260">
      <c r="A260" s="18"/>
      <c r="B260" s="18"/>
      <c r="C260" s="18"/>
      <c r="D260" s="19"/>
      <c r="F260" s="20"/>
      <c r="J260" s="20"/>
    </row>
    <row r="261">
      <c r="A261" s="18"/>
      <c r="B261" s="18"/>
      <c r="C261" s="18"/>
      <c r="D261" s="19"/>
      <c r="F261" s="20"/>
      <c r="J261" s="20"/>
    </row>
    <row r="262">
      <c r="A262" s="18"/>
      <c r="B262" s="18"/>
      <c r="C262" s="18"/>
      <c r="D262" s="19"/>
      <c r="F262" s="20"/>
      <c r="J262" s="20"/>
    </row>
    <row r="263">
      <c r="A263" s="18"/>
      <c r="B263" s="18"/>
      <c r="C263" s="18"/>
      <c r="D263" s="19"/>
      <c r="F263" s="20"/>
      <c r="J263" s="20"/>
    </row>
    <row r="264">
      <c r="A264" s="18"/>
      <c r="B264" s="18"/>
      <c r="C264" s="18"/>
      <c r="D264" s="19"/>
      <c r="F264" s="20"/>
      <c r="J264" s="20"/>
    </row>
    <row r="265">
      <c r="A265" s="18"/>
      <c r="B265" s="18"/>
      <c r="C265" s="18"/>
      <c r="D265" s="19"/>
      <c r="F265" s="20"/>
      <c r="J265" s="20"/>
    </row>
    <row r="266">
      <c r="A266" s="18"/>
      <c r="B266" s="18"/>
      <c r="C266" s="18"/>
      <c r="D266" s="19"/>
      <c r="F266" s="20"/>
      <c r="J266" s="20"/>
    </row>
    <row r="267">
      <c r="A267" s="18"/>
      <c r="B267" s="18"/>
      <c r="C267" s="18"/>
      <c r="D267" s="19"/>
      <c r="F267" s="20"/>
      <c r="J267" s="20"/>
    </row>
    <row r="268">
      <c r="A268" s="18"/>
      <c r="B268" s="18"/>
      <c r="C268" s="18"/>
      <c r="D268" s="19"/>
      <c r="F268" s="20"/>
      <c r="J268" s="20"/>
    </row>
    <row r="269">
      <c r="A269" s="18"/>
      <c r="B269" s="18"/>
      <c r="C269" s="18"/>
      <c r="D269" s="19"/>
      <c r="F269" s="20"/>
      <c r="J269" s="20"/>
    </row>
    <row r="270">
      <c r="A270" s="18"/>
      <c r="B270" s="18"/>
      <c r="C270" s="18"/>
      <c r="D270" s="19"/>
      <c r="F270" s="20"/>
      <c r="J270" s="20"/>
    </row>
    <row r="271">
      <c r="A271" s="18"/>
      <c r="B271" s="18"/>
      <c r="C271" s="18"/>
      <c r="D271" s="19"/>
      <c r="F271" s="20"/>
      <c r="J271" s="20"/>
    </row>
    <row r="272">
      <c r="A272" s="18"/>
      <c r="B272" s="18"/>
      <c r="C272" s="18"/>
      <c r="D272" s="19"/>
      <c r="F272" s="20"/>
      <c r="J272" s="20"/>
    </row>
    <row r="273">
      <c r="A273" s="18"/>
      <c r="B273" s="18"/>
      <c r="C273" s="18"/>
      <c r="D273" s="19"/>
      <c r="F273" s="20"/>
      <c r="J273" s="20"/>
    </row>
    <row r="274">
      <c r="A274" s="18"/>
      <c r="B274" s="18"/>
      <c r="C274" s="18"/>
      <c r="D274" s="19"/>
      <c r="F274" s="20"/>
      <c r="J274" s="20"/>
    </row>
    <row r="275">
      <c r="A275" s="18"/>
      <c r="B275" s="18"/>
      <c r="C275" s="18"/>
      <c r="D275" s="19"/>
      <c r="F275" s="20"/>
      <c r="J275" s="20"/>
    </row>
    <row r="276">
      <c r="A276" s="18"/>
      <c r="B276" s="18"/>
      <c r="C276" s="18"/>
      <c r="D276" s="19"/>
      <c r="F276" s="20"/>
      <c r="J276" s="20"/>
    </row>
    <row r="277">
      <c r="A277" s="18"/>
      <c r="B277" s="18"/>
      <c r="C277" s="18"/>
      <c r="D277" s="19"/>
      <c r="F277" s="20"/>
      <c r="J277" s="20"/>
    </row>
    <row r="278">
      <c r="A278" s="18"/>
      <c r="B278" s="18"/>
      <c r="C278" s="18"/>
      <c r="D278" s="19"/>
      <c r="F278" s="20"/>
      <c r="J278" s="20"/>
    </row>
    <row r="279">
      <c r="A279" s="18"/>
      <c r="B279" s="18"/>
      <c r="C279" s="18"/>
      <c r="D279" s="19"/>
      <c r="F279" s="20"/>
      <c r="J279" s="20"/>
    </row>
    <row r="280">
      <c r="A280" s="18"/>
      <c r="B280" s="18"/>
      <c r="C280" s="18"/>
      <c r="D280" s="19"/>
      <c r="F280" s="20"/>
      <c r="J280" s="20"/>
    </row>
    <row r="281">
      <c r="A281" s="18"/>
      <c r="B281" s="18"/>
      <c r="C281" s="18"/>
      <c r="D281" s="19"/>
      <c r="F281" s="20"/>
      <c r="J281" s="20"/>
    </row>
    <row r="282">
      <c r="A282" s="18"/>
      <c r="B282" s="18"/>
      <c r="C282" s="18"/>
      <c r="D282" s="19"/>
      <c r="F282" s="20"/>
      <c r="J282" s="20"/>
    </row>
    <row r="283">
      <c r="A283" s="18"/>
      <c r="B283" s="18"/>
      <c r="C283" s="18"/>
      <c r="D283" s="19"/>
      <c r="F283" s="20"/>
      <c r="J283" s="20"/>
    </row>
    <row r="284">
      <c r="A284" s="18"/>
      <c r="B284" s="18"/>
      <c r="C284" s="18"/>
      <c r="D284" s="19"/>
      <c r="F284" s="20"/>
      <c r="J284" s="20"/>
    </row>
    <row r="285">
      <c r="A285" s="18"/>
      <c r="B285" s="18"/>
      <c r="C285" s="18"/>
      <c r="D285" s="19"/>
      <c r="F285" s="20"/>
      <c r="J285" s="20"/>
    </row>
    <row r="286">
      <c r="A286" s="18"/>
      <c r="B286" s="18"/>
      <c r="C286" s="18"/>
      <c r="D286" s="19"/>
      <c r="F286" s="20"/>
      <c r="J286" s="20"/>
    </row>
    <row r="287">
      <c r="A287" s="18"/>
      <c r="B287" s="18"/>
      <c r="C287" s="18"/>
      <c r="D287" s="19"/>
      <c r="F287" s="20"/>
      <c r="J287" s="20"/>
    </row>
    <row r="288">
      <c r="A288" s="18"/>
      <c r="B288" s="18"/>
      <c r="C288" s="18"/>
      <c r="D288" s="19"/>
      <c r="F288" s="20"/>
      <c r="J288" s="20"/>
    </row>
    <row r="289">
      <c r="A289" s="18"/>
      <c r="B289" s="18"/>
      <c r="C289" s="18"/>
      <c r="D289" s="19"/>
      <c r="F289" s="20"/>
      <c r="J289" s="20"/>
    </row>
    <row r="290">
      <c r="A290" s="18"/>
      <c r="B290" s="18"/>
      <c r="C290" s="18"/>
      <c r="D290" s="19"/>
      <c r="F290" s="20"/>
      <c r="J290" s="20"/>
    </row>
    <row r="291">
      <c r="A291" s="18"/>
      <c r="B291" s="18"/>
      <c r="C291" s="18"/>
      <c r="D291" s="19"/>
      <c r="F291" s="20"/>
      <c r="J291" s="20"/>
    </row>
    <row r="292">
      <c r="A292" s="18"/>
      <c r="B292" s="18"/>
      <c r="C292" s="18"/>
      <c r="D292" s="19"/>
      <c r="F292" s="20"/>
      <c r="J292" s="20"/>
    </row>
    <row r="293">
      <c r="A293" s="18"/>
      <c r="B293" s="18"/>
      <c r="C293" s="18"/>
      <c r="D293" s="19"/>
      <c r="F293" s="20"/>
      <c r="J293" s="20"/>
    </row>
    <row r="294">
      <c r="A294" s="18"/>
      <c r="B294" s="18"/>
      <c r="C294" s="18"/>
      <c r="D294" s="19"/>
      <c r="F294" s="20"/>
      <c r="J294" s="20"/>
    </row>
    <row r="295">
      <c r="A295" s="18"/>
      <c r="B295" s="18"/>
      <c r="C295" s="18"/>
      <c r="D295" s="19"/>
      <c r="F295" s="20"/>
      <c r="J295" s="20"/>
    </row>
    <row r="296">
      <c r="A296" s="18"/>
      <c r="B296" s="18"/>
      <c r="C296" s="18"/>
      <c r="D296" s="19"/>
      <c r="F296" s="20"/>
      <c r="J296" s="20"/>
    </row>
    <row r="297">
      <c r="A297" s="18"/>
      <c r="B297" s="18"/>
      <c r="C297" s="18"/>
      <c r="D297" s="19"/>
      <c r="F297" s="20"/>
      <c r="J297" s="20"/>
    </row>
    <row r="298">
      <c r="A298" s="18"/>
      <c r="B298" s="18"/>
      <c r="C298" s="18"/>
      <c r="D298" s="19"/>
      <c r="F298" s="20"/>
      <c r="J298" s="20"/>
    </row>
    <row r="299">
      <c r="A299" s="18"/>
      <c r="B299" s="18"/>
      <c r="C299" s="18"/>
      <c r="D299" s="19"/>
      <c r="F299" s="20"/>
      <c r="J299" s="20"/>
    </row>
    <row r="300">
      <c r="A300" s="18"/>
      <c r="B300" s="18"/>
      <c r="C300" s="18"/>
      <c r="D300" s="19"/>
      <c r="F300" s="20"/>
      <c r="J300" s="20"/>
    </row>
    <row r="301">
      <c r="A301" s="18"/>
      <c r="B301" s="18"/>
      <c r="C301" s="18"/>
      <c r="D301" s="19"/>
      <c r="F301" s="20"/>
      <c r="J301" s="20"/>
    </row>
    <row r="302">
      <c r="A302" s="18"/>
      <c r="B302" s="18"/>
      <c r="C302" s="18"/>
      <c r="D302" s="19"/>
      <c r="F302" s="20"/>
      <c r="J302" s="20"/>
    </row>
    <row r="303">
      <c r="A303" s="18"/>
      <c r="B303" s="18"/>
      <c r="C303" s="18"/>
      <c r="D303" s="19"/>
      <c r="F303" s="20"/>
      <c r="J303" s="20"/>
    </row>
    <row r="304">
      <c r="A304" s="18"/>
      <c r="B304" s="18"/>
      <c r="C304" s="18"/>
      <c r="D304" s="19"/>
      <c r="F304" s="20"/>
      <c r="J304" s="20"/>
    </row>
    <row r="305">
      <c r="A305" s="18"/>
      <c r="B305" s="18"/>
      <c r="C305" s="18"/>
      <c r="D305" s="19"/>
      <c r="F305" s="20"/>
      <c r="J305" s="20"/>
    </row>
    <row r="306">
      <c r="A306" s="18"/>
      <c r="B306" s="18"/>
      <c r="C306" s="18"/>
      <c r="D306" s="19"/>
      <c r="F306" s="20"/>
      <c r="J306" s="20"/>
    </row>
    <row r="307">
      <c r="A307" s="18"/>
      <c r="B307" s="18"/>
      <c r="C307" s="18"/>
      <c r="D307" s="19"/>
      <c r="F307" s="20"/>
      <c r="J307" s="20"/>
    </row>
    <row r="308">
      <c r="A308" s="18"/>
      <c r="B308" s="18"/>
      <c r="C308" s="18"/>
      <c r="D308" s="19"/>
      <c r="F308" s="20"/>
      <c r="J308" s="20"/>
    </row>
    <row r="309">
      <c r="A309" s="18"/>
      <c r="B309" s="18"/>
      <c r="C309" s="18"/>
      <c r="D309" s="19"/>
      <c r="F309" s="20"/>
      <c r="J309" s="20"/>
    </row>
    <row r="310">
      <c r="A310" s="18"/>
      <c r="B310" s="18"/>
      <c r="C310" s="18"/>
      <c r="D310" s="19"/>
      <c r="F310" s="20"/>
      <c r="J310" s="20"/>
    </row>
    <row r="311">
      <c r="A311" s="18"/>
      <c r="B311" s="18"/>
      <c r="C311" s="18"/>
      <c r="D311" s="19"/>
      <c r="F311" s="20"/>
      <c r="J311" s="20"/>
    </row>
    <row r="312">
      <c r="A312" s="18"/>
      <c r="B312" s="18"/>
      <c r="C312" s="18"/>
      <c r="D312" s="19"/>
      <c r="F312" s="20"/>
      <c r="J312" s="20"/>
    </row>
    <row r="313">
      <c r="A313" s="18"/>
      <c r="B313" s="18"/>
      <c r="C313" s="18"/>
      <c r="D313" s="19"/>
      <c r="F313" s="20"/>
      <c r="J313" s="20"/>
    </row>
    <row r="314">
      <c r="A314" s="18"/>
      <c r="B314" s="18"/>
      <c r="C314" s="18"/>
      <c r="D314" s="19"/>
      <c r="F314" s="20"/>
      <c r="J314" s="20"/>
    </row>
    <row r="315">
      <c r="A315" s="18"/>
      <c r="B315" s="18"/>
      <c r="C315" s="18"/>
      <c r="D315" s="19"/>
      <c r="F315" s="20"/>
      <c r="J315" s="20"/>
    </row>
    <row r="316">
      <c r="A316" s="18"/>
      <c r="B316" s="18"/>
      <c r="C316" s="18"/>
      <c r="D316" s="19"/>
      <c r="F316" s="20"/>
      <c r="J316" s="20"/>
    </row>
    <row r="317">
      <c r="A317" s="18"/>
      <c r="B317" s="18"/>
      <c r="C317" s="18"/>
      <c r="D317" s="19"/>
      <c r="F317" s="20"/>
      <c r="J317" s="20"/>
    </row>
    <row r="318">
      <c r="A318" s="18"/>
      <c r="B318" s="18"/>
      <c r="C318" s="18"/>
      <c r="D318" s="19"/>
      <c r="F318" s="20"/>
      <c r="J318" s="20"/>
    </row>
    <row r="319">
      <c r="A319" s="18"/>
      <c r="B319" s="18"/>
      <c r="C319" s="18"/>
      <c r="D319" s="19"/>
      <c r="F319" s="20"/>
      <c r="J319" s="20"/>
    </row>
    <row r="320">
      <c r="A320" s="18"/>
      <c r="B320" s="18"/>
      <c r="C320" s="18"/>
      <c r="D320" s="19"/>
      <c r="F320" s="20"/>
      <c r="J320" s="20"/>
    </row>
    <row r="321">
      <c r="A321" s="18"/>
      <c r="B321" s="18"/>
      <c r="C321" s="18"/>
      <c r="D321" s="19"/>
      <c r="F321" s="20"/>
      <c r="J321" s="20"/>
    </row>
    <row r="322">
      <c r="A322" s="18"/>
      <c r="B322" s="18"/>
      <c r="C322" s="18"/>
      <c r="D322" s="19"/>
      <c r="F322" s="20"/>
      <c r="J322" s="20"/>
    </row>
    <row r="323">
      <c r="A323" s="18"/>
      <c r="B323" s="18"/>
      <c r="C323" s="18"/>
      <c r="D323" s="19"/>
      <c r="F323" s="20"/>
      <c r="J323" s="20"/>
    </row>
    <row r="324">
      <c r="A324" s="18"/>
      <c r="B324" s="18"/>
      <c r="C324" s="18"/>
      <c r="D324" s="19"/>
      <c r="F324" s="20"/>
      <c r="J324" s="20"/>
    </row>
    <row r="325">
      <c r="A325" s="18"/>
      <c r="B325" s="18"/>
      <c r="C325" s="18"/>
      <c r="D325" s="19"/>
      <c r="F325" s="20"/>
      <c r="J325" s="20"/>
    </row>
    <row r="326">
      <c r="A326" s="18"/>
      <c r="B326" s="18"/>
      <c r="C326" s="18"/>
      <c r="D326" s="19"/>
      <c r="F326" s="20"/>
      <c r="J326" s="20"/>
    </row>
    <row r="327">
      <c r="A327" s="18"/>
      <c r="B327" s="18"/>
      <c r="C327" s="18"/>
      <c r="D327" s="19"/>
      <c r="F327" s="20"/>
      <c r="J327" s="20"/>
    </row>
    <row r="328">
      <c r="A328" s="18"/>
      <c r="B328" s="18"/>
      <c r="C328" s="18"/>
      <c r="D328" s="19"/>
      <c r="F328" s="20"/>
      <c r="J328" s="20"/>
    </row>
    <row r="329">
      <c r="A329" s="18"/>
      <c r="B329" s="18"/>
      <c r="C329" s="18"/>
      <c r="D329" s="19"/>
      <c r="F329" s="20"/>
      <c r="J329" s="20"/>
    </row>
    <row r="330">
      <c r="A330" s="18"/>
      <c r="B330" s="18"/>
      <c r="C330" s="18"/>
      <c r="D330" s="19"/>
      <c r="F330" s="20"/>
      <c r="J330" s="20"/>
    </row>
    <row r="331">
      <c r="A331" s="18"/>
      <c r="B331" s="18"/>
      <c r="C331" s="18"/>
      <c r="D331" s="19"/>
      <c r="F331" s="20"/>
      <c r="J331" s="20"/>
    </row>
    <row r="332">
      <c r="A332" s="18"/>
      <c r="B332" s="18"/>
      <c r="C332" s="18"/>
      <c r="D332" s="19"/>
      <c r="F332" s="20"/>
      <c r="J332" s="20"/>
    </row>
    <row r="333">
      <c r="A333" s="18"/>
      <c r="B333" s="18"/>
      <c r="C333" s="18"/>
      <c r="D333" s="19"/>
      <c r="F333" s="20"/>
      <c r="J333" s="20"/>
    </row>
    <row r="334">
      <c r="A334" s="18"/>
      <c r="B334" s="18"/>
      <c r="C334" s="18"/>
      <c r="D334" s="19"/>
      <c r="F334" s="20"/>
      <c r="J334" s="20"/>
    </row>
    <row r="335">
      <c r="A335" s="18"/>
      <c r="B335" s="18"/>
      <c r="C335" s="18"/>
      <c r="D335" s="19"/>
      <c r="F335" s="20"/>
      <c r="J335" s="20"/>
    </row>
    <row r="336">
      <c r="A336" s="18"/>
      <c r="B336" s="18"/>
      <c r="C336" s="18"/>
      <c r="D336" s="19"/>
      <c r="F336" s="20"/>
      <c r="J336" s="20"/>
    </row>
    <row r="337">
      <c r="A337" s="18"/>
      <c r="B337" s="18"/>
      <c r="C337" s="18"/>
      <c r="D337" s="19"/>
      <c r="F337" s="20"/>
      <c r="J337" s="20"/>
    </row>
    <row r="338">
      <c r="A338" s="18"/>
      <c r="B338" s="18"/>
      <c r="C338" s="18"/>
      <c r="D338" s="19"/>
      <c r="F338" s="20"/>
      <c r="J338" s="20"/>
    </row>
    <row r="339">
      <c r="A339" s="18"/>
      <c r="B339" s="18"/>
      <c r="C339" s="18"/>
      <c r="D339" s="19"/>
      <c r="F339" s="20"/>
      <c r="J339" s="20"/>
    </row>
    <row r="340">
      <c r="A340" s="18"/>
      <c r="B340" s="18"/>
      <c r="C340" s="18"/>
      <c r="D340" s="19"/>
      <c r="F340" s="20"/>
      <c r="J340" s="20"/>
    </row>
    <row r="341">
      <c r="A341" s="18"/>
      <c r="B341" s="18"/>
      <c r="C341" s="18"/>
      <c r="D341" s="19"/>
      <c r="F341" s="20"/>
      <c r="J341" s="20"/>
    </row>
    <row r="342">
      <c r="A342" s="18"/>
      <c r="B342" s="18"/>
      <c r="C342" s="18"/>
      <c r="D342" s="19"/>
      <c r="F342" s="20"/>
      <c r="J342" s="20"/>
    </row>
    <row r="343">
      <c r="A343" s="18"/>
      <c r="B343" s="18"/>
      <c r="C343" s="18"/>
      <c r="D343" s="19"/>
      <c r="F343" s="20"/>
      <c r="J343" s="20"/>
    </row>
    <row r="344">
      <c r="A344" s="18"/>
      <c r="B344" s="18"/>
      <c r="C344" s="18"/>
      <c r="D344" s="19"/>
      <c r="F344" s="20"/>
      <c r="J344" s="20"/>
    </row>
    <row r="345">
      <c r="A345" s="18"/>
      <c r="B345" s="18"/>
      <c r="C345" s="18"/>
      <c r="D345" s="19"/>
      <c r="F345" s="20"/>
      <c r="J345" s="20"/>
    </row>
    <row r="346">
      <c r="A346" s="18"/>
      <c r="B346" s="18"/>
      <c r="C346" s="18"/>
      <c r="D346" s="19"/>
      <c r="F346" s="20"/>
      <c r="J346" s="20"/>
    </row>
    <row r="347">
      <c r="A347" s="18"/>
      <c r="B347" s="18"/>
      <c r="C347" s="18"/>
      <c r="D347" s="19"/>
      <c r="F347" s="20"/>
      <c r="J347" s="20"/>
    </row>
    <row r="348">
      <c r="A348" s="18"/>
      <c r="B348" s="18"/>
      <c r="C348" s="18"/>
      <c r="D348" s="19"/>
      <c r="F348" s="20"/>
      <c r="J348" s="20"/>
    </row>
    <row r="349">
      <c r="A349" s="18"/>
      <c r="B349" s="18"/>
      <c r="C349" s="18"/>
      <c r="D349" s="19"/>
      <c r="F349" s="20"/>
      <c r="J349" s="20"/>
    </row>
    <row r="350">
      <c r="A350" s="18"/>
      <c r="B350" s="18"/>
      <c r="C350" s="18"/>
      <c r="D350" s="19"/>
      <c r="F350" s="20"/>
      <c r="J350" s="20"/>
    </row>
    <row r="351">
      <c r="A351" s="18"/>
      <c r="B351" s="18"/>
      <c r="C351" s="18"/>
      <c r="D351" s="19"/>
      <c r="F351" s="20"/>
      <c r="J351" s="20"/>
    </row>
    <row r="352">
      <c r="A352" s="18"/>
      <c r="B352" s="18"/>
      <c r="C352" s="18"/>
      <c r="D352" s="19"/>
      <c r="F352" s="20"/>
      <c r="J352" s="20"/>
    </row>
    <row r="353">
      <c r="A353" s="18"/>
      <c r="B353" s="18"/>
      <c r="C353" s="18"/>
      <c r="D353" s="19"/>
      <c r="F353" s="20"/>
      <c r="J353" s="20"/>
    </row>
    <row r="354">
      <c r="A354" s="18"/>
      <c r="B354" s="18"/>
      <c r="C354" s="18"/>
      <c r="D354" s="19"/>
      <c r="F354" s="20"/>
      <c r="J354" s="20"/>
    </row>
    <row r="355">
      <c r="A355" s="18"/>
      <c r="B355" s="18"/>
      <c r="C355" s="18"/>
      <c r="D355" s="19"/>
      <c r="F355" s="20"/>
      <c r="J355" s="20"/>
    </row>
    <row r="356">
      <c r="A356" s="18"/>
      <c r="B356" s="18"/>
      <c r="C356" s="18"/>
      <c r="D356" s="19"/>
      <c r="F356" s="20"/>
      <c r="J356" s="20"/>
    </row>
    <row r="357">
      <c r="A357" s="18"/>
      <c r="B357" s="18"/>
      <c r="C357" s="18"/>
      <c r="D357" s="19"/>
      <c r="F357" s="20"/>
      <c r="J357" s="20"/>
    </row>
    <row r="358">
      <c r="A358" s="18"/>
      <c r="B358" s="18"/>
      <c r="C358" s="18"/>
      <c r="D358" s="19"/>
      <c r="F358" s="20"/>
      <c r="J358" s="20"/>
    </row>
    <row r="359">
      <c r="A359" s="18"/>
      <c r="B359" s="18"/>
      <c r="C359" s="18"/>
      <c r="D359" s="19"/>
      <c r="F359" s="20"/>
      <c r="J359" s="20"/>
    </row>
    <row r="360">
      <c r="A360" s="18"/>
      <c r="B360" s="18"/>
      <c r="C360" s="18"/>
      <c r="D360" s="19"/>
      <c r="F360" s="20"/>
      <c r="J360" s="20"/>
    </row>
    <row r="361">
      <c r="A361" s="18"/>
      <c r="B361" s="18"/>
      <c r="C361" s="18"/>
      <c r="D361" s="19"/>
      <c r="F361" s="20"/>
      <c r="J361" s="20"/>
    </row>
    <row r="362">
      <c r="A362" s="18"/>
      <c r="B362" s="18"/>
      <c r="C362" s="18"/>
      <c r="D362" s="19"/>
      <c r="F362" s="20"/>
      <c r="J362" s="20"/>
    </row>
    <row r="363">
      <c r="A363" s="18"/>
      <c r="B363" s="18"/>
      <c r="C363" s="18"/>
      <c r="D363" s="19"/>
      <c r="F363" s="20"/>
      <c r="J363" s="20"/>
    </row>
    <row r="364">
      <c r="A364" s="18"/>
      <c r="B364" s="18"/>
      <c r="C364" s="18"/>
      <c r="D364" s="19"/>
      <c r="F364" s="20"/>
      <c r="J364" s="20"/>
    </row>
    <row r="365">
      <c r="A365" s="18"/>
      <c r="B365" s="18"/>
      <c r="C365" s="18"/>
      <c r="D365" s="19"/>
      <c r="F365" s="20"/>
      <c r="J365" s="20"/>
    </row>
    <row r="366">
      <c r="A366" s="18"/>
      <c r="B366" s="18"/>
      <c r="C366" s="18"/>
      <c r="D366" s="19"/>
      <c r="F366" s="20"/>
      <c r="J366" s="20"/>
    </row>
    <row r="367">
      <c r="A367" s="18"/>
      <c r="B367" s="18"/>
      <c r="C367" s="18"/>
      <c r="D367" s="19"/>
      <c r="F367" s="20"/>
      <c r="J367" s="20"/>
    </row>
    <row r="368">
      <c r="A368" s="18"/>
      <c r="B368" s="18"/>
      <c r="C368" s="18"/>
      <c r="D368" s="19"/>
      <c r="F368" s="20"/>
      <c r="J368" s="20"/>
    </row>
    <row r="369">
      <c r="A369" s="18"/>
      <c r="B369" s="18"/>
      <c r="C369" s="18"/>
      <c r="D369" s="19"/>
      <c r="F369" s="20"/>
      <c r="J369" s="20"/>
    </row>
    <row r="370">
      <c r="A370" s="18"/>
      <c r="B370" s="18"/>
      <c r="C370" s="18"/>
      <c r="D370" s="19"/>
      <c r="F370" s="20"/>
      <c r="J370" s="20"/>
    </row>
    <row r="371">
      <c r="A371" s="18"/>
      <c r="B371" s="18"/>
      <c r="C371" s="18"/>
      <c r="D371" s="19"/>
      <c r="F371" s="20"/>
      <c r="J371" s="20"/>
    </row>
    <row r="372">
      <c r="A372" s="18"/>
      <c r="B372" s="18"/>
      <c r="C372" s="18"/>
      <c r="D372" s="19"/>
      <c r="F372" s="20"/>
      <c r="J372" s="20"/>
    </row>
    <row r="373">
      <c r="A373" s="18"/>
      <c r="B373" s="18"/>
      <c r="C373" s="18"/>
      <c r="D373" s="19"/>
      <c r="F373" s="20"/>
      <c r="J373" s="20"/>
    </row>
    <row r="374">
      <c r="A374" s="18"/>
      <c r="B374" s="18"/>
      <c r="C374" s="18"/>
      <c r="D374" s="19"/>
      <c r="F374" s="20"/>
      <c r="J374" s="20"/>
    </row>
    <row r="375">
      <c r="A375" s="18"/>
      <c r="B375" s="18"/>
      <c r="C375" s="18"/>
      <c r="D375" s="19"/>
      <c r="F375" s="20"/>
      <c r="J375" s="20"/>
    </row>
    <row r="376">
      <c r="A376" s="18"/>
      <c r="B376" s="18"/>
      <c r="C376" s="18"/>
      <c r="D376" s="19"/>
      <c r="F376" s="20"/>
      <c r="J376" s="20"/>
    </row>
    <row r="377">
      <c r="A377" s="18"/>
      <c r="B377" s="18"/>
      <c r="C377" s="18"/>
      <c r="D377" s="19"/>
      <c r="F377" s="20"/>
      <c r="J377" s="20"/>
    </row>
    <row r="378">
      <c r="A378" s="18"/>
      <c r="B378" s="18"/>
      <c r="C378" s="18"/>
      <c r="D378" s="19"/>
      <c r="F378" s="20"/>
      <c r="J378" s="20"/>
    </row>
    <row r="379">
      <c r="A379" s="18"/>
      <c r="B379" s="18"/>
      <c r="C379" s="18"/>
      <c r="D379" s="19"/>
      <c r="F379" s="20"/>
      <c r="J379" s="20"/>
    </row>
    <row r="380">
      <c r="A380" s="18"/>
      <c r="B380" s="18"/>
      <c r="C380" s="18"/>
      <c r="D380" s="19"/>
      <c r="F380" s="20"/>
      <c r="J380" s="20"/>
    </row>
    <row r="381">
      <c r="A381" s="18"/>
      <c r="B381" s="18"/>
      <c r="C381" s="18"/>
      <c r="D381" s="19"/>
      <c r="F381" s="20"/>
      <c r="J381" s="20"/>
    </row>
    <row r="382">
      <c r="A382" s="18"/>
      <c r="B382" s="18"/>
      <c r="C382" s="18"/>
      <c r="D382" s="19"/>
      <c r="F382" s="20"/>
      <c r="J382" s="20"/>
    </row>
    <row r="383">
      <c r="A383" s="18"/>
      <c r="B383" s="18"/>
      <c r="C383" s="18"/>
      <c r="D383" s="19"/>
      <c r="F383" s="20"/>
      <c r="J383" s="20"/>
    </row>
    <row r="384">
      <c r="A384" s="18"/>
      <c r="B384" s="18"/>
      <c r="C384" s="18"/>
      <c r="D384" s="19"/>
      <c r="F384" s="20"/>
      <c r="J384" s="20"/>
    </row>
    <row r="385">
      <c r="A385" s="18"/>
      <c r="B385" s="18"/>
      <c r="C385" s="18"/>
      <c r="D385" s="19"/>
      <c r="F385" s="20"/>
      <c r="J385" s="20"/>
    </row>
    <row r="386">
      <c r="A386" s="18"/>
      <c r="B386" s="18"/>
      <c r="C386" s="18"/>
      <c r="D386" s="19"/>
      <c r="F386" s="20"/>
      <c r="J386" s="20"/>
    </row>
    <row r="387">
      <c r="A387" s="18"/>
      <c r="B387" s="18"/>
      <c r="C387" s="18"/>
      <c r="D387" s="19"/>
      <c r="F387" s="20"/>
      <c r="J387" s="20"/>
    </row>
    <row r="388">
      <c r="A388" s="18"/>
      <c r="B388" s="18"/>
      <c r="C388" s="18"/>
      <c r="D388" s="19"/>
      <c r="F388" s="20"/>
      <c r="J388" s="20"/>
    </row>
    <row r="389">
      <c r="A389" s="18"/>
      <c r="B389" s="18"/>
      <c r="C389" s="18"/>
      <c r="D389" s="19"/>
      <c r="F389" s="20"/>
      <c r="J389" s="20"/>
    </row>
    <row r="390">
      <c r="A390" s="18"/>
      <c r="B390" s="18"/>
      <c r="C390" s="18"/>
      <c r="D390" s="19"/>
      <c r="F390" s="20"/>
      <c r="J390" s="20"/>
    </row>
    <row r="391">
      <c r="A391" s="18"/>
      <c r="B391" s="18"/>
      <c r="C391" s="18"/>
      <c r="D391" s="19"/>
      <c r="F391" s="20"/>
      <c r="J391" s="20"/>
    </row>
    <row r="392">
      <c r="A392" s="18"/>
      <c r="B392" s="18"/>
      <c r="C392" s="18"/>
      <c r="D392" s="19"/>
      <c r="F392" s="20"/>
      <c r="J392" s="20"/>
    </row>
    <row r="393">
      <c r="A393" s="18"/>
      <c r="B393" s="18"/>
      <c r="C393" s="18"/>
      <c r="D393" s="19"/>
      <c r="F393" s="20"/>
      <c r="J393" s="20"/>
    </row>
    <row r="394">
      <c r="A394" s="18"/>
      <c r="B394" s="18"/>
      <c r="C394" s="18"/>
      <c r="D394" s="19"/>
      <c r="F394" s="20"/>
      <c r="J394" s="20"/>
    </row>
    <row r="395">
      <c r="A395" s="18"/>
      <c r="B395" s="18"/>
      <c r="C395" s="18"/>
      <c r="D395" s="19"/>
      <c r="F395" s="20"/>
      <c r="J395" s="20"/>
    </row>
    <row r="396">
      <c r="A396" s="18"/>
      <c r="B396" s="18"/>
      <c r="C396" s="18"/>
      <c r="D396" s="19"/>
      <c r="F396" s="20"/>
      <c r="J396" s="20"/>
    </row>
    <row r="397">
      <c r="A397" s="18"/>
      <c r="B397" s="18"/>
      <c r="C397" s="18"/>
      <c r="D397" s="19"/>
      <c r="F397" s="20"/>
      <c r="J397" s="20"/>
    </row>
    <row r="398">
      <c r="A398" s="18"/>
      <c r="B398" s="18"/>
      <c r="C398" s="18"/>
      <c r="D398" s="19"/>
      <c r="F398" s="20"/>
      <c r="J398" s="20"/>
    </row>
    <row r="399">
      <c r="A399" s="18"/>
      <c r="B399" s="18"/>
      <c r="C399" s="18"/>
      <c r="D399" s="19"/>
      <c r="F399" s="20"/>
      <c r="J399" s="20"/>
    </row>
    <row r="400">
      <c r="A400" s="18"/>
      <c r="B400" s="18"/>
      <c r="C400" s="18"/>
      <c r="D400" s="19"/>
      <c r="F400" s="20"/>
      <c r="J400" s="20"/>
    </row>
    <row r="401">
      <c r="A401" s="18"/>
      <c r="B401" s="18"/>
      <c r="C401" s="18"/>
      <c r="D401" s="19"/>
      <c r="F401" s="20"/>
      <c r="J401" s="20"/>
    </row>
    <row r="402">
      <c r="A402" s="18"/>
      <c r="B402" s="18"/>
      <c r="C402" s="18"/>
      <c r="D402" s="19"/>
      <c r="F402" s="20"/>
      <c r="J402" s="20"/>
    </row>
    <row r="403">
      <c r="A403" s="18"/>
      <c r="B403" s="18"/>
      <c r="C403" s="18"/>
      <c r="D403" s="19"/>
      <c r="F403" s="20"/>
      <c r="J403" s="20"/>
    </row>
    <row r="404">
      <c r="A404" s="18"/>
      <c r="B404" s="18"/>
      <c r="C404" s="18"/>
      <c r="D404" s="19"/>
      <c r="F404" s="20"/>
      <c r="J404" s="20"/>
    </row>
    <row r="405">
      <c r="A405" s="18"/>
      <c r="B405" s="18"/>
      <c r="C405" s="18"/>
      <c r="D405" s="19"/>
      <c r="F405" s="20"/>
      <c r="J405" s="20"/>
    </row>
    <row r="406">
      <c r="A406" s="18"/>
      <c r="B406" s="18"/>
      <c r="C406" s="18"/>
      <c r="D406" s="19"/>
      <c r="F406" s="20"/>
      <c r="J406" s="20"/>
    </row>
    <row r="407">
      <c r="A407" s="18"/>
      <c r="B407" s="18"/>
      <c r="C407" s="18"/>
      <c r="D407" s="19"/>
      <c r="F407" s="20"/>
      <c r="J407" s="20"/>
    </row>
    <row r="408">
      <c r="A408" s="18"/>
      <c r="B408" s="18"/>
      <c r="C408" s="18"/>
      <c r="D408" s="19"/>
      <c r="F408" s="20"/>
      <c r="J408" s="20"/>
    </row>
    <row r="409">
      <c r="A409" s="18"/>
      <c r="B409" s="18"/>
      <c r="C409" s="18"/>
      <c r="D409" s="19"/>
      <c r="F409" s="20"/>
      <c r="J409" s="20"/>
    </row>
    <row r="410">
      <c r="A410" s="18"/>
      <c r="B410" s="18"/>
      <c r="C410" s="18"/>
      <c r="D410" s="19"/>
      <c r="F410" s="20"/>
      <c r="J410" s="20"/>
    </row>
    <row r="411">
      <c r="A411" s="18"/>
      <c r="B411" s="18"/>
      <c r="C411" s="18"/>
      <c r="D411" s="19"/>
      <c r="F411" s="20"/>
      <c r="J411" s="20"/>
    </row>
    <row r="412">
      <c r="A412" s="18"/>
      <c r="B412" s="18"/>
      <c r="C412" s="18"/>
      <c r="D412" s="19"/>
      <c r="F412" s="20"/>
      <c r="J412" s="20"/>
    </row>
    <row r="413">
      <c r="A413" s="18"/>
      <c r="B413" s="18"/>
      <c r="C413" s="18"/>
      <c r="D413" s="19"/>
      <c r="F413" s="20"/>
      <c r="J413" s="20"/>
    </row>
    <row r="414">
      <c r="A414" s="18"/>
      <c r="B414" s="18"/>
      <c r="C414" s="18"/>
      <c r="D414" s="19"/>
      <c r="F414" s="20"/>
      <c r="J414" s="20"/>
    </row>
    <row r="415">
      <c r="A415" s="18"/>
      <c r="B415" s="18"/>
      <c r="C415" s="18"/>
      <c r="D415" s="19"/>
      <c r="F415" s="20"/>
      <c r="J415" s="20"/>
    </row>
    <row r="416">
      <c r="A416" s="18"/>
      <c r="B416" s="18"/>
      <c r="C416" s="18"/>
      <c r="D416" s="19"/>
      <c r="F416" s="20"/>
      <c r="J416" s="20"/>
    </row>
    <row r="417">
      <c r="A417" s="18"/>
      <c r="B417" s="18"/>
      <c r="C417" s="18"/>
      <c r="D417" s="19"/>
      <c r="F417" s="20"/>
      <c r="J417" s="20"/>
    </row>
    <row r="418">
      <c r="A418" s="18"/>
      <c r="B418" s="18"/>
      <c r="C418" s="18"/>
      <c r="D418" s="19"/>
      <c r="F418" s="20"/>
      <c r="J418" s="20"/>
    </row>
    <row r="419">
      <c r="A419" s="18"/>
      <c r="B419" s="18"/>
      <c r="C419" s="18"/>
      <c r="D419" s="19"/>
      <c r="F419" s="20"/>
      <c r="J419" s="20"/>
    </row>
    <row r="420">
      <c r="A420" s="18"/>
      <c r="B420" s="18"/>
      <c r="C420" s="18"/>
      <c r="D420" s="19"/>
      <c r="F420" s="20"/>
      <c r="J420" s="20"/>
    </row>
    <row r="421">
      <c r="A421" s="18"/>
      <c r="B421" s="18"/>
      <c r="C421" s="18"/>
      <c r="D421" s="19"/>
      <c r="F421" s="20"/>
      <c r="J421" s="20"/>
    </row>
    <row r="422">
      <c r="A422" s="18"/>
      <c r="B422" s="18"/>
      <c r="C422" s="18"/>
      <c r="D422" s="19"/>
      <c r="F422" s="20"/>
      <c r="J422" s="20"/>
    </row>
    <row r="423">
      <c r="A423" s="18"/>
      <c r="B423" s="18"/>
      <c r="C423" s="18"/>
      <c r="D423" s="19"/>
      <c r="F423" s="20"/>
      <c r="J423" s="20"/>
    </row>
    <row r="424">
      <c r="A424" s="18"/>
      <c r="B424" s="18"/>
      <c r="C424" s="18"/>
      <c r="D424" s="19"/>
      <c r="F424" s="20"/>
      <c r="J424" s="20"/>
    </row>
    <row r="425">
      <c r="A425" s="18"/>
      <c r="B425" s="18"/>
      <c r="C425" s="18"/>
      <c r="D425" s="19"/>
      <c r="F425" s="20"/>
      <c r="J425" s="20"/>
    </row>
    <row r="426">
      <c r="A426" s="18"/>
      <c r="B426" s="18"/>
      <c r="C426" s="18"/>
      <c r="D426" s="19"/>
      <c r="F426" s="20"/>
      <c r="J426" s="20"/>
    </row>
    <row r="427">
      <c r="A427" s="18"/>
      <c r="B427" s="18"/>
      <c r="C427" s="18"/>
      <c r="D427" s="19"/>
      <c r="F427" s="20"/>
      <c r="J427" s="20"/>
    </row>
    <row r="428">
      <c r="A428" s="18"/>
      <c r="B428" s="18"/>
      <c r="C428" s="18"/>
      <c r="D428" s="19"/>
      <c r="F428" s="20"/>
      <c r="J428" s="20"/>
    </row>
    <row r="429">
      <c r="A429" s="18"/>
      <c r="B429" s="18"/>
      <c r="C429" s="18"/>
      <c r="D429" s="19"/>
      <c r="F429" s="20"/>
      <c r="J429" s="20"/>
    </row>
    <row r="430">
      <c r="A430" s="18"/>
      <c r="B430" s="18"/>
      <c r="C430" s="18"/>
      <c r="D430" s="19"/>
      <c r="F430" s="20"/>
      <c r="J430" s="20"/>
    </row>
    <row r="431">
      <c r="A431" s="18"/>
      <c r="B431" s="18"/>
      <c r="C431" s="18"/>
      <c r="D431" s="19"/>
      <c r="F431" s="20"/>
      <c r="J431" s="20"/>
    </row>
    <row r="432">
      <c r="A432" s="18"/>
      <c r="B432" s="18"/>
      <c r="C432" s="18"/>
      <c r="D432" s="19"/>
      <c r="F432" s="20"/>
      <c r="J432" s="20"/>
    </row>
    <row r="433">
      <c r="A433" s="18"/>
      <c r="B433" s="18"/>
      <c r="C433" s="18"/>
      <c r="D433" s="19"/>
      <c r="F433" s="20"/>
      <c r="J433" s="20"/>
    </row>
    <row r="434">
      <c r="A434" s="18"/>
      <c r="B434" s="18"/>
      <c r="C434" s="18"/>
      <c r="D434" s="19"/>
      <c r="F434" s="20"/>
      <c r="J434" s="20"/>
    </row>
    <row r="435">
      <c r="A435" s="18"/>
      <c r="B435" s="18"/>
      <c r="C435" s="18"/>
      <c r="D435" s="19"/>
      <c r="F435" s="20"/>
      <c r="J435" s="20"/>
    </row>
    <row r="436">
      <c r="A436" s="18"/>
      <c r="B436" s="18"/>
      <c r="C436" s="18"/>
      <c r="D436" s="19"/>
      <c r="F436" s="20"/>
      <c r="J436" s="20"/>
    </row>
    <row r="437">
      <c r="A437" s="18"/>
      <c r="B437" s="18"/>
      <c r="C437" s="18"/>
      <c r="D437" s="19"/>
      <c r="F437" s="20"/>
      <c r="J437" s="20"/>
    </row>
    <row r="438">
      <c r="A438" s="18"/>
      <c r="B438" s="18"/>
      <c r="C438" s="18"/>
      <c r="D438" s="19"/>
      <c r="F438" s="20"/>
      <c r="J438" s="20"/>
    </row>
    <row r="439">
      <c r="A439" s="18"/>
      <c r="B439" s="18"/>
      <c r="C439" s="18"/>
      <c r="D439" s="19"/>
      <c r="F439" s="20"/>
      <c r="J439" s="20"/>
    </row>
    <row r="440">
      <c r="A440" s="18"/>
      <c r="B440" s="18"/>
      <c r="C440" s="18"/>
      <c r="D440" s="19"/>
      <c r="F440" s="20"/>
      <c r="J440" s="20"/>
    </row>
    <row r="441">
      <c r="A441" s="18"/>
      <c r="B441" s="18"/>
      <c r="C441" s="18"/>
      <c r="D441" s="19"/>
      <c r="F441" s="20"/>
      <c r="J441" s="20"/>
    </row>
    <row r="442">
      <c r="A442" s="18"/>
      <c r="B442" s="18"/>
      <c r="C442" s="18"/>
      <c r="D442" s="19"/>
      <c r="F442" s="20"/>
      <c r="J442" s="20"/>
    </row>
    <row r="443">
      <c r="A443" s="18"/>
      <c r="B443" s="18"/>
      <c r="C443" s="18"/>
      <c r="D443" s="19"/>
      <c r="F443" s="20"/>
      <c r="J443" s="20"/>
    </row>
    <row r="444">
      <c r="A444" s="18"/>
      <c r="B444" s="18"/>
      <c r="C444" s="18"/>
      <c r="D444" s="19"/>
      <c r="F444" s="20"/>
      <c r="J444" s="20"/>
    </row>
    <row r="445">
      <c r="A445" s="18"/>
      <c r="B445" s="18"/>
      <c r="C445" s="18"/>
      <c r="D445" s="19"/>
      <c r="F445" s="20"/>
      <c r="J445" s="20"/>
    </row>
    <row r="446">
      <c r="A446" s="18"/>
      <c r="B446" s="18"/>
      <c r="C446" s="18"/>
      <c r="D446" s="19"/>
      <c r="F446" s="20"/>
      <c r="J446" s="20"/>
    </row>
    <row r="447">
      <c r="A447" s="18"/>
      <c r="B447" s="18"/>
      <c r="C447" s="18"/>
      <c r="D447" s="19"/>
      <c r="F447" s="20"/>
      <c r="J447" s="20"/>
    </row>
    <row r="448">
      <c r="A448" s="18"/>
      <c r="B448" s="18"/>
      <c r="C448" s="18"/>
      <c r="D448" s="19"/>
      <c r="F448" s="20"/>
      <c r="J448" s="20"/>
    </row>
    <row r="449">
      <c r="A449" s="18"/>
      <c r="B449" s="18"/>
      <c r="C449" s="18"/>
      <c r="D449" s="19"/>
      <c r="F449" s="20"/>
      <c r="J449" s="20"/>
    </row>
    <row r="450">
      <c r="A450" s="18"/>
      <c r="B450" s="18"/>
      <c r="C450" s="18"/>
      <c r="D450" s="19"/>
      <c r="F450" s="20"/>
      <c r="J450" s="20"/>
    </row>
    <row r="451">
      <c r="A451" s="18"/>
      <c r="B451" s="18"/>
      <c r="C451" s="18"/>
      <c r="D451" s="19"/>
      <c r="F451" s="20"/>
      <c r="J451" s="20"/>
    </row>
    <row r="452">
      <c r="A452" s="18"/>
      <c r="B452" s="18"/>
      <c r="C452" s="18"/>
      <c r="D452" s="19"/>
      <c r="F452" s="20"/>
      <c r="J452" s="20"/>
    </row>
    <row r="453">
      <c r="A453" s="18"/>
      <c r="B453" s="18"/>
      <c r="C453" s="18"/>
      <c r="D453" s="19"/>
      <c r="F453" s="20"/>
      <c r="J453" s="20"/>
    </row>
    <row r="454">
      <c r="A454" s="18"/>
      <c r="B454" s="18"/>
      <c r="C454" s="18"/>
      <c r="D454" s="19"/>
      <c r="F454" s="20"/>
      <c r="J454" s="20"/>
    </row>
    <row r="455">
      <c r="A455" s="18"/>
      <c r="B455" s="18"/>
      <c r="C455" s="18"/>
      <c r="D455" s="19"/>
      <c r="F455" s="20"/>
      <c r="J455" s="20"/>
    </row>
    <row r="456">
      <c r="A456" s="18"/>
      <c r="B456" s="18"/>
      <c r="C456" s="18"/>
      <c r="D456" s="19"/>
      <c r="F456" s="20"/>
      <c r="J456" s="20"/>
    </row>
    <row r="457">
      <c r="A457" s="18"/>
      <c r="B457" s="18"/>
      <c r="C457" s="18"/>
      <c r="D457" s="19"/>
      <c r="F457" s="20"/>
      <c r="J457" s="20"/>
    </row>
    <row r="458">
      <c r="A458" s="18"/>
      <c r="B458" s="18"/>
      <c r="C458" s="18"/>
      <c r="D458" s="19"/>
      <c r="F458" s="20"/>
      <c r="J458" s="20"/>
    </row>
    <row r="459">
      <c r="A459" s="18"/>
      <c r="B459" s="18"/>
      <c r="C459" s="18"/>
      <c r="D459" s="19"/>
      <c r="F459" s="20"/>
      <c r="J459" s="20"/>
    </row>
    <row r="460">
      <c r="A460" s="18"/>
      <c r="B460" s="18"/>
      <c r="C460" s="18"/>
      <c r="D460" s="19"/>
      <c r="F460" s="20"/>
      <c r="J460" s="20"/>
    </row>
    <row r="461">
      <c r="A461" s="18"/>
      <c r="B461" s="18"/>
      <c r="C461" s="18"/>
      <c r="D461" s="19"/>
      <c r="F461" s="20"/>
      <c r="J461" s="20"/>
    </row>
    <row r="462">
      <c r="A462" s="18"/>
      <c r="B462" s="18"/>
      <c r="C462" s="18"/>
      <c r="D462" s="19"/>
      <c r="F462" s="20"/>
      <c r="J462" s="20"/>
    </row>
    <row r="463">
      <c r="A463" s="18"/>
      <c r="B463" s="18"/>
      <c r="C463" s="18"/>
      <c r="D463" s="19"/>
      <c r="F463" s="20"/>
      <c r="J463" s="20"/>
    </row>
    <row r="464">
      <c r="A464" s="18"/>
      <c r="B464" s="18"/>
      <c r="C464" s="18"/>
      <c r="D464" s="19"/>
      <c r="F464" s="20"/>
      <c r="J464" s="20"/>
    </row>
    <row r="465">
      <c r="A465" s="18"/>
      <c r="B465" s="18"/>
      <c r="C465" s="18"/>
      <c r="D465" s="19"/>
      <c r="F465" s="20"/>
      <c r="J465" s="20"/>
    </row>
    <row r="466">
      <c r="A466" s="18"/>
      <c r="B466" s="18"/>
      <c r="C466" s="18"/>
      <c r="D466" s="19"/>
      <c r="F466" s="20"/>
      <c r="J466" s="20"/>
    </row>
    <row r="467">
      <c r="A467" s="18"/>
      <c r="B467" s="18"/>
      <c r="C467" s="18"/>
      <c r="D467" s="19"/>
      <c r="F467" s="20"/>
      <c r="J467" s="20"/>
    </row>
    <row r="468">
      <c r="A468" s="18"/>
      <c r="B468" s="18"/>
      <c r="C468" s="18"/>
      <c r="D468" s="19"/>
      <c r="F468" s="20"/>
      <c r="J468" s="20"/>
    </row>
    <row r="469">
      <c r="A469" s="18"/>
      <c r="B469" s="18"/>
      <c r="C469" s="18"/>
      <c r="D469" s="19"/>
      <c r="F469" s="20"/>
      <c r="J469" s="20"/>
    </row>
    <row r="470">
      <c r="A470" s="18"/>
      <c r="B470" s="18"/>
      <c r="C470" s="18"/>
      <c r="D470" s="19"/>
      <c r="F470" s="20"/>
      <c r="J470" s="20"/>
    </row>
    <row r="471">
      <c r="A471" s="18"/>
      <c r="B471" s="18"/>
      <c r="C471" s="18"/>
      <c r="D471" s="19"/>
      <c r="F471" s="20"/>
      <c r="J471" s="20"/>
    </row>
    <row r="472">
      <c r="A472" s="18"/>
      <c r="B472" s="18"/>
      <c r="C472" s="18"/>
      <c r="D472" s="19"/>
      <c r="F472" s="20"/>
      <c r="J472" s="20"/>
    </row>
    <row r="473">
      <c r="A473" s="18"/>
      <c r="B473" s="18"/>
      <c r="C473" s="18"/>
      <c r="D473" s="19"/>
      <c r="F473" s="20"/>
      <c r="J473" s="20"/>
    </row>
    <row r="474">
      <c r="A474" s="18"/>
      <c r="B474" s="18"/>
      <c r="C474" s="18"/>
      <c r="D474" s="19"/>
      <c r="F474" s="20"/>
      <c r="J474" s="20"/>
    </row>
    <row r="475">
      <c r="A475" s="18"/>
      <c r="B475" s="18"/>
      <c r="C475" s="18"/>
      <c r="D475" s="19"/>
      <c r="F475" s="20"/>
      <c r="J475" s="20"/>
    </row>
    <row r="476">
      <c r="A476" s="18"/>
      <c r="B476" s="18"/>
      <c r="C476" s="18"/>
      <c r="D476" s="19"/>
      <c r="F476" s="20"/>
      <c r="J476" s="20"/>
    </row>
    <row r="477">
      <c r="A477" s="18"/>
      <c r="B477" s="18"/>
      <c r="C477" s="18"/>
      <c r="D477" s="19"/>
      <c r="F477" s="20"/>
      <c r="J477" s="20"/>
    </row>
    <row r="478">
      <c r="A478" s="18"/>
      <c r="B478" s="18"/>
      <c r="C478" s="18"/>
      <c r="D478" s="19"/>
      <c r="F478" s="20"/>
      <c r="J478" s="20"/>
    </row>
    <row r="479">
      <c r="A479" s="18"/>
      <c r="B479" s="18"/>
      <c r="C479" s="18"/>
      <c r="D479" s="19"/>
      <c r="F479" s="20"/>
      <c r="J479" s="20"/>
    </row>
    <row r="480">
      <c r="A480" s="18"/>
      <c r="B480" s="18"/>
      <c r="C480" s="18"/>
      <c r="D480" s="19"/>
      <c r="F480" s="20"/>
      <c r="J480" s="20"/>
    </row>
    <row r="481">
      <c r="A481" s="18"/>
      <c r="B481" s="18"/>
      <c r="C481" s="18"/>
      <c r="D481" s="19"/>
      <c r="F481" s="20"/>
      <c r="J481" s="20"/>
    </row>
    <row r="482">
      <c r="A482" s="18"/>
      <c r="B482" s="18"/>
      <c r="C482" s="18"/>
      <c r="D482" s="19"/>
      <c r="F482" s="20"/>
      <c r="J482" s="20"/>
    </row>
    <row r="483">
      <c r="A483" s="18"/>
      <c r="B483" s="18"/>
      <c r="C483" s="18"/>
      <c r="D483" s="19"/>
      <c r="F483" s="20"/>
      <c r="J483" s="20"/>
    </row>
    <row r="484">
      <c r="A484" s="18"/>
      <c r="B484" s="18"/>
      <c r="C484" s="18"/>
      <c r="D484" s="19"/>
      <c r="F484" s="20"/>
      <c r="J484" s="20"/>
    </row>
    <row r="485">
      <c r="A485" s="18"/>
      <c r="B485" s="18"/>
      <c r="C485" s="18"/>
      <c r="D485" s="19"/>
      <c r="F485" s="20"/>
      <c r="J485" s="20"/>
    </row>
    <row r="486">
      <c r="A486" s="18"/>
      <c r="B486" s="18"/>
      <c r="C486" s="18"/>
      <c r="D486" s="19"/>
      <c r="F486" s="20"/>
      <c r="J486" s="20"/>
    </row>
    <row r="487">
      <c r="A487" s="18"/>
      <c r="B487" s="18"/>
      <c r="C487" s="18"/>
      <c r="D487" s="19"/>
      <c r="F487" s="20"/>
      <c r="J487" s="20"/>
    </row>
    <row r="488">
      <c r="A488" s="18"/>
      <c r="B488" s="18"/>
      <c r="C488" s="18"/>
      <c r="D488" s="19"/>
      <c r="F488" s="20"/>
      <c r="J488" s="20"/>
    </row>
    <row r="489">
      <c r="A489" s="18"/>
      <c r="B489" s="18"/>
      <c r="C489" s="18"/>
      <c r="D489" s="19"/>
      <c r="F489" s="20"/>
      <c r="J489" s="20"/>
    </row>
    <row r="490">
      <c r="A490" s="18"/>
      <c r="B490" s="18"/>
      <c r="C490" s="18"/>
      <c r="D490" s="19"/>
      <c r="F490" s="20"/>
      <c r="J490" s="20"/>
    </row>
    <row r="491">
      <c r="A491" s="18"/>
      <c r="B491" s="18"/>
      <c r="C491" s="18"/>
      <c r="D491" s="19"/>
      <c r="F491" s="20"/>
      <c r="J491" s="20"/>
    </row>
    <row r="492">
      <c r="A492" s="18"/>
      <c r="B492" s="18"/>
      <c r="C492" s="18"/>
      <c r="D492" s="19"/>
      <c r="F492" s="20"/>
      <c r="J492" s="20"/>
    </row>
    <row r="493">
      <c r="A493" s="18"/>
      <c r="B493" s="18"/>
      <c r="C493" s="18"/>
      <c r="D493" s="19"/>
      <c r="F493" s="20"/>
      <c r="J493" s="20"/>
    </row>
    <row r="494">
      <c r="A494" s="18"/>
      <c r="B494" s="18"/>
      <c r="C494" s="18"/>
      <c r="D494" s="19"/>
      <c r="F494" s="20"/>
      <c r="J494" s="20"/>
    </row>
    <row r="495">
      <c r="A495" s="18"/>
      <c r="B495" s="18"/>
      <c r="C495" s="18"/>
      <c r="D495" s="19"/>
      <c r="F495" s="20"/>
      <c r="J495" s="20"/>
    </row>
    <row r="496">
      <c r="A496" s="18"/>
      <c r="B496" s="18"/>
      <c r="C496" s="18"/>
      <c r="D496" s="19"/>
      <c r="F496" s="20"/>
      <c r="J496" s="20"/>
    </row>
    <row r="497">
      <c r="A497" s="18"/>
      <c r="B497" s="18"/>
      <c r="C497" s="18"/>
      <c r="D497" s="19"/>
      <c r="F497" s="20"/>
      <c r="J497" s="20"/>
    </row>
    <row r="498">
      <c r="A498" s="18"/>
      <c r="B498" s="18"/>
      <c r="C498" s="18"/>
      <c r="D498" s="19"/>
      <c r="F498" s="20"/>
      <c r="J498" s="20"/>
    </row>
    <row r="499">
      <c r="A499" s="18"/>
      <c r="B499" s="18"/>
      <c r="C499" s="18"/>
      <c r="D499" s="19"/>
      <c r="F499" s="20"/>
      <c r="J499" s="20"/>
    </row>
    <row r="500">
      <c r="A500" s="18"/>
      <c r="B500" s="18"/>
      <c r="C500" s="18"/>
      <c r="D500" s="19"/>
      <c r="F500" s="20"/>
      <c r="J500" s="20"/>
    </row>
    <row r="501">
      <c r="A501" s="18"/>
      <c r="B501" s="18"/>
      <c r="C501" s="18"/>
      <c r="D501" s="19"/>
      <c r="F501" s="20"/>
      <c r="J501" s="20"/>
    </row>
    <row r="502">
      <c r="A502" s="18"/>
      <c r="B502" s="18"/>
      <c r="C502" s="18"/>
      <c r="D502" s="19"/>
      <c r="F502" s="20"/>
      <c r="J502" s="20"/>
    </row>
    <row r="503">
      <c r="A503" s="18"/>
      <c r="B503" s="18"/>
      <c r="C503" s="18"/>
      <c r="D503" s="19"/>
      <c r="F503" s="20"/>
      <c r="J503" s="20"/>
    </row>
    <row r="504">
      <c r="A504" s="18"/>
      <c r="B504" s="18"/>
      <c r="C504" s="18"/>
      <c r="D504" s="19"/>
      <c r="F504" s="20"/>
      <c r="J504" s="20"/>
    </row>
    <row r="505">
      <c r="A505" s="18"/>
      <c r="B505" s="18"/>
      <c r="C505" s="18"/>
      <c r="D505" s="19"/>
      <c r="F505" s="20"/>
      <c r="J505" s="20"/>
    </row>
    <row r="506">
      <c r="A506" s="18"/>
      <c r="B506" s="18"/>
      <c r="C506" s="18"/>
      <c r="D506" s="19"/>
      <c r="F506" s="20"/>
      <c r="J506" s="20"/>
    </row>
    <row r="507">
      <c r="A507" s="18"/>
      <c r="B507" s="18"/>
      <c r="C507" s="18"/>
      <c r="D507" s="19"/>
      <c r="F507" s="20"/>
      <c r="J507" s="20"/>
    </row>
    <row r="508">
      <c r="A508" s="18"/>
      <c r="B508" s="18"/>
      <c r="C508" s="18"/>
      <c r="D508" s="19"/>
      <c r="F508" s="20"/>
      <c r="J508" s="20"/>
    </row>
    <row r="509">
      <c r="A509" s="18"/>
      <c r="B509" s="18"/>
      <c r="C509" s="18"/>
      <c r="D509" s="19"/>
      <c r="F509" s="20"/>
      <c r="J509" s="20"/>
    </row>
    <row r="510">
      <c r="A510" s="18"/>
      <c r="B510" s="18"/>
      <c r="C510" s="18"/>
      <c r="D510" s="19"/>
      <c r="F510" s="20"/>
      <c r="J510" s="20"/>
    </row>
    <row r="511">
      <c r="A511" s="18"/>
      <c r="B511" s="18"/>
      <c r="C511" s="18"/>
      <c r="D511" s="19"/>
      <c r="F511" s="20"/>
      <c r="J511" s="20"/>
    </row>
    <row r="512">
      <c r="A512" s="18"/>
      <c r="B512" s="18"/>
      <c r="C512" s="18"/>
      <c r="D512" s="19"/>
      <c r="F512" s="20"/>
      <c r="J512" s="20"/>
    </row>
    <row r="513">
      <c r="A513" s="18"/>
      <c r="B513" s="18"/>
      <c r="C513" s="18"/>
      <c r="D513" s="19"/>
      <c r="F513" s="20"/>
      <c r="J513" s="20"/>
    </row>
    <row r="514">
      <c r="A514" s="18"/>
      <c r="B514" s="18"/>
      <c r="C514" s="18"/>
      <c r="D514" s="19"/>
      <c r="F514" s="20"/>
      <c r="J514" s="20"/>
    </row>
    <row r="515">
      <c r="A515" s="18"/>
      <c r="B515" s="18"/>
      <c r="C515" s="18"/>
      <c r="D515" s="19"/>
      <c r="F515" s="20"/>
      <c r="J515" s="20"/>
    </row>
    <row r="516">
      <c r="A516" s="18"/>
      <c r="B516" s="18"/>
      <c r="C516" s="18"/>
      <c r="D516" s="19"/>
      <c r="F516" s="20"/>
      <c r="J516" s="20"/>
    </row>
    <row r="517">
      <c r="A517" s="18"/>
      <c r="B517" s="18"/>
      <c r="C517" s="18"/>
      <c r="D517" s="19"/>
      <c r="F517" s="20"/>
      <c r="J517" s="20"/>
    </row>
    <row r="518">
      <c r="A518" s="18"/>
      <c r="B518" s="18"/>
      <c r="C518" s="18"/>
      <c r="D518" s="19"/>
      <c r="F518" s="20"/>
      <c r="J518" s="20"/>
    </row>
    <row r="519">
      <c r="A519" s="18"/>
      <c r="B519" s="18"/>
      <c r="C519" s="18"/>
      <c r="D519" s="19"/>
      <c r="F519" s="20"/>
      <c r="J519" s="20"/>
    </row>
    <row r="520">
      <c r="A520" s="18"/>
      <c r="B520" s="18"/>
      <c r="C520" s="18"/>
      <c r="D520" s="19"/>
      <c r="F520" s="20"/>
      <c r="J520" s="20"/>
    </row>
    <row r="521">
      <c r="A521" s="18"/>
      <c r="B521" s="18"/>
      <c r="C521" s="18"/>
      <c r="D521" s="19"/>
      <c r="F521" s="20"/>
      <c r="J521" s="20"/>
    </row>
    <row r="522">
      <c r="A522" s="18"/>
      <c r="B522" s="18"/>
      <c r="C522" s="18"/>
      <c r="D522" s="19"/>
      <c r="F522" s="20"/>
      <c r="J522" s="20"/>
    </row>
    <row r="523">
      <c r="A523" s="18"/>
      <c r="B523" s="18"/>
      <c r="C523" s="18"/>
      <c r="D523" s="19"/>
      <c r="F523" s="20"/>
      <c r="J523" s="20"/>
    </row>
    <row r="524">
      <c r="A524" s="18"/>
      <c r="B524" s="18"/>
      <c r="C524" s="18"/>
      <c r="D524" s="19"/>
      <c r="F524" s="20"/>
      <c r="J524" s="20"/>
    </row>
    <row r="525">
      <c r="A525" s="18"/>
      <c r="B525" s="18"/>
      <c r="C525" s="18"/>
      <c r="D525" s="19"/>
      <c r="F525" s="20"/>
      <c r="J525" s="20"/>
    </row>
    <row r="526">
      <c r="A526" s="18"/>
      <c r="B526" s="18"/>
      <c r="C526" s="18"/>
      <c r="D526" s="19"/>
      <c r="F526" s="20"/>
      <c r="J526" s="20"/>
    </row>
    <row r="527">
      <c r="A527" s="18"/>
      <c r="B527" s="18"/>
      <c r="C527" s="18"/>
      <c r="D527" s="19"/>
      <c r="F527" s="20"/>
      <c r="J527" s="20"/>
    </row>
    <row r="528">
      <c r="A528" s="18"/>
      <c r="B528" s="18"/>
      <c r="C528" s="18"/>
      <c r="D528" s="19"/>
      <c r="F528" s="20"/>
      <c r="J528" s="20"/>
    </row>
    <row r="529">
      <c r="A529" s="18"/>
      <c r="B529" s="18"/>
      <c r="C529" s="18"/>
      <c r="D529" s="19"/>
      <c r="F529" s="20"/>
      <c r="J529" s="20"/>
    </row>
    <row r="530">
      <c r="A530" s="18"/>
      <c r="B530" s="18"/>
      <c r="C530" s="18"/>
      <c r="D530" s="19"/>
      <c r="F530" s="20"/>
      <c r="J530" s="20"/>
    </row>
    <row r="531">
      <c r="A531" s="18"/>
      <c r="B531" s="18"/>
      <c r="C531" s="18"/>
      <c r="D531" s="19"/>
      <c r="F531" s="20"/>
      <c r="J531" s="20"/>
    </row>
    <row r="532">
      <c r="A532" s="18"/>
      <c r="B532" s="18"/>
      <c r="C532" s="18"/>
      <c r="D532" s="19"/>
      <c r="F532" s="20"/>
      <c r="J532" s="20"/>
    </row>
    <row r="533">
      <c r="A533" s="18"/>
      <c r="B533" s="18"/>
      <c r="C533" s="18"/>
      <c r="D533" s="19"/>
      <c r="F533" s="20"/>
      <c r="J533" s="20"/>
    </row>
    <row r="534">
      <c r="A534" s="18"/>
      <c r="B534" s="18"/>
      <c r="C534" s="18"/>
      <c r="D534" s="19"/>
      <c r="F534" s="20"/>
      <c r="J534" s="20"/>
    </row>
    <row r="535">
      <c r="A535" s="18"/>
      <c r="B535" s="18"/>
      <c r="C535" s="18"/>
      <c r="D535" s="19"/>
      <c r="F535" s="20"/>
      <c r="J535" s="20"/>
    </row>
    <row r="536">
      <c r="A536" s="18"/>
      <c r="B536" s="18"/>
      <c r="C536" s="18"/>
      <c r="D536" s="19"/>
      <c r="F536" s="20"/>
      <c r="J536" s="20"/>
    </row>
    <row r="537">
      <c r="A537" s="18"/>
      <c r="B537" s="18"/>
      <c r="C537" s="18"/>
      <c r="D537" s="19"/>
      <c r="F537" s="20"/>
      <c r="J537" s="20"/>
    </row>
    <row r="538">
      <c r="A538" s="18"/>
      <c r="B538" s="18"/>
      <c r="C538" s="18"/>
      <c r="D538" s="19"/>
      <c r="F538" s="20"/>
      <c r="J538" s="20"/>
    </row>
    <row r="539">
      <c r="A539" s="18"/>
      <c r="B539" s="18"/>
      <c r="C539" s="18"/>
      <c r="D539" s="19"/>
      <c r="F539" s="20"/>
      <c r="J539" s="20"/>
    </row>
    <row r="540">
      <c r="A540" s="18"/>
      <c r="B540" s="18"/>
      <c r="C540" s="18"/>
      <c r="D540" s="19"/>
      <c r="F540" s="20"/>
      <c r="J540" s="20"/>
    </row>
    <row r="541">
      <c r="A541" s="18"/>
      <c r="B541" s="18"/>
      <c r="C541" s="18"/>
      <c r="D541" s="19"/>
      <c r="F541" s="20"/>
      <c r="J541" s="20"/>
    </row>
    <row r="542">
      <c r="A542" s="18"/>
      <c r="B542" s="18"/>
      <c r="C542" s="18"/>
      <c r="D542" s="19"/>
      <c r="F542" s="20"/>
      <c r="J542" s="20"/>
    </row>
    <row r="543">
      <c r="A543" s="18"/>
      <c r="B543" s="18"/>
      <c r="C543" s="18"/>
      <c r="D543" s="19"/>
      <c r="F543" s="20"/>
      <c r="J543" s="20"/>
    </row>
    <row r="544">
      <c r="A544" s="18"/>
      <c r="B544" s="18"/>
      <c r="C544" s="18"/>
      <c r="D544" s="19"/>
      <c r="F544" s="20"/>
      <c r="J544" s="20"/>
    </row>
    <row r="545">
      <c r="A545" s="18"/>
      <c r="B545" s="18"/>
      <c r="C545" s="18"/>
      <c r="D545" s="19"/>
      <c r="F545" s="20"/>
      <c r="J545" s="20"/>
    </row>
    <row r="546">
      <c r="A546" s="18"/>
      <c r="B546" s="18"/>
      <c r="C546" s="18"/>
      <c r="D546" s="19"/>
      <c r="F546" s="20"/>
      <c r="J546" s="20"/>
    </row>
    <row r="547">
      <c r="A547" s="18"/>
      <c r="B547" s="18"/>
      <c r="C547" s="18"/>
      <c r="D547" s="19"/>
      <c r="F547" s="20"/>
      <c r="J547" s="20"/>
    </row>
    <row r="548">
      <c r="A548" s="18"/>
      <c r="B548" s="18"/>
      <c r="C548" s="18"/>
      <c r="D548" s="19"/>
      <c r="F548" s="20"/>
      <c r="J548" s="20"/>
    </row>
    <row r="549">
      <c r="A549" s="18"/>
      <c r="B549" s="18"/>
      <c r="C549" s="18"/>
      <c r="D549" s="19"/>
      <c r="F549" s="20"/>
      <c r="J549" s="20"/>
    </row>
    <row r="550">
      <c r="A550" s="18"/>
      <c r="B550" s="18"/>
      <c r="C550" s="18"/>
      <c r="D550" s="19"/>
      <c r="F550" s="20"/>
      <c r="J550" s="20"/>
    </row>
    <row r="551">
      <c r="A551" s="18"/>
      <c r="B551" s="18"/>
      <c r="C551" s="18"/>
      <c r="D551" s="19"/>
      <c r="F551" s="20"/>
      <c r="J551" s="20"/>
    </row>
    <row r="552">
      <c r="A552" s="18"/>
      <c r="B552" s="18"/>
      <c r="C552" s="18"/>
      <c r="D552" s="19"/>
      <c r="F552" s="20"/>
      <c r="J552" s="20"/>
    </row>
    <row r="553">
      <c r="A553" s="18"/>
      <c r="B553" s="18"/>
      <c r="C553" s="18"/>
      <c r="D553" s="19"/>
      <c r="F553" s="20"/>
      <c r="J553" s="20"/>
    </row>
    <row r="554">
      <c r="A554" s="18"/>
      <c r="B554" s="18"/>
      <c r="C554" s="18"/>
      <c r="D554" s="19"/>
      <c r="F554" s="20"/>
      <c r="J554" s="20"/>
    </row>
    <row r="555">
      <c r="A555" s="18"/>
      <c r="B555" s="18"/>
      <c r="C555" s="18"/>
      <c r="D555" s="19"/>
      <c r="F555" s="20"/>
      <c r="J555" s="20"/>
    </row>
    <row r="556">
      <c r="A556" s="18"/>
      <c r="B556" s="18"/>
      <c r="C556" s="18"/>
      <c r="D556" s="19"/>
      <c r="F556" s="20"/>
      <c r="J556" s="20"/>
    </row>
    <row r="557">
      <c r="A557" s="18"/>
      <c r="B557" s="18"/>
      <c r="C557" s="18"/>
      <c r="D557" s="19"/>
      <c r="F557" s="20"/>
      <c r="J557" s="20"/>
    </row>
    <row r="558">
      <c r="A558" s="18"/>
      <c r="B558" s="18"/>
      <c r="C558" s="18"/>
      <c r="D558" s="19"/>
      <c r="F558" s="20"/>
      <c r="J558" s="20"/>
    </row>
    <row r="559">
      <c r="A559" s="18"/>
      <c r="B559" s="18"/>
      <c r="C559" s="18"/>
      <c r="D559" s="19"/>
      <c r="F559" s="20"/>
      <c r="J559" s="20"/>
    </row>
    <row r="560">
      <c r="A560" s="18"/>
      <c r="B560" s="18"/>
      <c r="C560" s="18"/>
      <c r="D560" s="19"/>
      <c r="F560" s="20"/>
      <c r="J560" s="20"/>
    </row>
    <row r="561">
      <c r="A561" s="18"/>
      <c r="B561" s="18"/>
      <c r="C561" s="18"/>
      <c r="D561" s="19"/>
      <c r="F561" s="20"/>
      <c r="J561" s="20"/>
    </row>
    <row r="562">
      <c r="A562" s="18"/>
      <c r="B562" s="18"/>
      <c r="C562" s="18"/>
      <c r="D562" s="19"/>
      <c r="F562" s="20"/>
      <c r="J562" s="20"/>
    </row>
    <row r="563">
      <c r="A563" s="18"/>
      <c r="B563" s="18"/>
      <c r="C563" s="18"/>
      <c r="D563" s="19"/>
      <c r="F563" s="20"/>
      <c r="J563" s="20"/>
    </row>
    <row r="564">
      <c r="A564" s="18"/>
      <c r="B564" s="18"/>
      <c r="C564" s="18"/>
      <c r="D564" s="19"/>
      <c r="F564" s="20"/>
      <c r="J564" s="20"/>
    </row>
    <row r="565">
      <c r="A565" s="18"/>
      <c r="B565" s="18"/>
      <c r="C565" s="18"/>
      <c r="D565" s="19"/>
      <c r="F565" s="20"/>
      <c r="J565" s="20"/>
    </row>
    <row r="566">
      <c r="A566" s="18"/>
      <c r="B566" s="18"/>
      <c r="C566" s="18"/>
      <c r="D566" s="19"/>
      <c r="F566" s="20"/>
      <c r="J566" s="20"/>
    </row>
    <row r="567">
      <c r="A567" s="18"/>
      <c r="B567" s="18"/>
      <c r="C567" s="18"/>
      <c r="D567" s="19"/>
      <c r="F567" s="20"/>
      <c r="J567" s="20"/>
    </row>
    <row r="568">
      <c r="A568" s="18"/>
      <c r="B568" s="18"/>
      <c r="C568" s="18"/>
      <c r="D568" s="19"/>
      <c r="F568" s="20"/>
      <c r="J568" s="20"/>
    </row>
    <row r="569">
      <c r="A569" s="18"/>
      <c r="B569" s="18"/>
      <c r="C569" s="18"/>
      <c r="D569" s="19"/>
      <c r="F569" s="20"/>
      <c r="J569" s="20"/>
    </row>
    <row r="570">
      <c r="A570" s="18"/>
      <c r="B570" s="18"/>
      <c r="C570" s="18"/>
      <c r="D570" s="19"/>
      <c r="F570" s="20"/>
      <c r="J570" s="20"/>
    </row>
    <row r="571">
      <c r="A571" s="18"/>
      <c r="B571" s="18"/>
      <c r="C571" s="18"/>
      <c r="D571" s="19"/>
      <c r="F571" s="20"/>
      <c r="J571" s="20"/>
    </row>
    <row r="572">
      <c r="A572" s="18"/>
      <c r="B572" s="18"/>
      <c r="C572" s="18"/>
      <c r="D572" s="19"/>
      <c r="F572" s="20"/>
      <c r="J572" s="20"/>
    </row>
    <row r="573">
      <c r="A573" s="18"/>
      <c r="B573" s="18"/>
      <c r="C573" s="18"/>
      <c r="D573" s="19"/>
      <c r="F573" s="20"/>
      <c r="J573" s="20"/>
    </row>
    <row r="574">
      <c r="A574" s="18"/>
      <c r="B574" s="18"/>
      <c r="C574" s="18"/>
      <c r="D574" s="19"/>
      <c r="F574" s="20"/>
      <c r="J574" s="20"/>
    </row>
    <row r="575">
      <c r="A575" s="18"/>
      <c r="B575" s="18"/>
      <c r="C575" s="18"/>
      <c r="D575" s="19"/>
      <c r="F575" s="20"/>
      <c r="J575" s="20"/>
    </row>
    <row r="576">
      <c r="A576" s="18"/>
      <c r="B576" s="18"/>
      <c r="C576" s="18"/>
      <c r="D576" s="19"/>
      <c r="F576" s="20"/>
      <c r="J576" s="20"/>
    </row>
    <row r="577">
      <c r="A577" s="18"/>
      <c r="B577" s="18"/>
      <c r="C577" s="18"/>
      <c r="D577" s="19"/>
      <c r="F577" s="20"/>
      <c r="J577" s="20"/>
    </row>
    <row r="578">
      <c r="A578" s="18"/>
      <c r="B578" s="18"/>
      <c r="C578" s="18"/>
      <c r="D578" s="19"/>
      <c r="F578" s="20"/>
      <c r="J578" s="20"/>
    </row>
    <row r="579">
      <c r="A579" s="18"/>
      <c r="B579" s="18"/>
      <c r="C579" s="18"/>
      <c r="D579" s="19"/>
      <c r="F579" s="20"/>
      <c r="J579" s="20"/>
    </row>
    <row r="580">
      <c r="A580" s="18"/>
      <c r="B580" s="18"/>
      <c r="C580" s="18"/>
      <c r="D580" s="19"/>
      <c r="F580" s="20"/>
      <c r="J580" s="20"/>
    </row>
    <row r="581">
      <c r="A581" s="18"/>
      <c r="B581" s="18"/>
      <c r="C581" s="18"/>
      <c r="D581" s="19"/>
      <c r="F581" s="20"/>
      <c r="J581" s="20"/>
    </row>
    <row r="582">
      <c r="A582" s="18"/>
      <c r="B582" s="18"/>
      <c r="C582" s="18"/>
      <c r="D582" s="19"/>
      <c r="F582" s="20"/>
      <c r="J582" s="20"/>
    </row>
    <row r="583">
      <c r="A583" s="18"/>
      <c r="B583" s="18"/>
      <c r="C583" s="18"/>
      <c r="D583" s="19"/>
      <c r="F583" s="20"/>
      <c r="J583" s="20"/>
    </row>
    <row r="584">
      <c r="A584" s="18"/>
      <c r="B584" s="18"/>
      <c r="C584" s="18"/>
      <c r="D584" s="19"/>
      <c r="F584" s="20"/>
      <c r="J584" s="20"/>
    </row>
    <row r="585">
      <c r="A585" s="18"/>
      <c r="B585" s="18"/>
      <c r="C585" s="18"/>
      <c r="D585" s="19"/>
      <c r="F585" s="20"/>
      <c r="J585" s="20"/>
    </row>
    <row r="586">
      <c r="A586" s="18"/>
      <c r="B586" s="18"/>
      <c r="C586" s="18"/>
      <c r="D586" s="19"/>
      <c r="F586" s="20"/>
      <c r="J586" s="20"/>
    </row>
    <row r="587">
      <c r="A587" s="18"/>
      <c r="B587" s="18"/>
      <c r="C587" s="18"/>
      <c r="D587" s="19"/>
      <c r="F587" s="20"/>
      <c r="J587" s="20"/>
    </row>
    <row r="588">
      <c r="A588" s="18"/>
      <c r="B588" s="18"/>
      <c r="C588" s="18"/>
      <c r="D588" s="19"/>
      <c r="F588" s="20"/>
      <c r="J588" s="20"/>
    </row>
    <row r="589">
      <c r="A589" s="18"/>
      <c r="B589" s="18"/>
      <c r="C589" s="18"/>
      <c r="D589" s="19"/>
      <c r="F589" s="20"/>
      <c r="J589" s="20"/>
    </row>
    <row r="590">
      <c r="A590" s="18"/>
      <c r="B590" s="18"/>
      <c r="C590" s="18"/>
      <c r="D590" s="19"/>
      <c r="F590" s="20"/>
      <c r="J590" s="20"/>
    </row>
    <row r="591">
      <c r="A591" s="18"/>
      <c r="B591" s="18"/>
      <c r="C591" s="18"/>
      <c r="D591" s="19"/>
      <c r="F591" s="20"/>
      <c r="J591" s="20"/>
    </row>
    <row r="592">
      <c r="A592" s="18"/>
      <c r="B592" s="18"/>
      <c r="C592" s="18"/>
      <c r="D592" s="19"/>
      <c r="F592" s="20"/>
      <c r="J592" s="20"/>
    </row>
    <row r="593">
      <c r="A593" s="18"/>
      <c r="B593" s="18"/>
      <c r="C593" s="18"/>
      <c r="D593" s="19"/>
      <c r="F593" s="20"/>
      <c r="J593" s="20"/>
    </row>
    <row r="594">
      <c r="A594" s="18"/>
      <c r="B594" s="18"/>
      <c r="C594" s="18"/>
      <c r="D594" s="19"/>
      <c r="F594" s="20"/>
      <c r="J594" s="20"/>
    </row>
    <row r="595">
      <c r="A595" s="18"/>
      <c r="B595" s="18"/>
      <c r="C595" s="18"/>
      <c r="D595" s="19"/>
      <c r="F595" s="20"/>
      <c r="J595" s="20"/>
    </row>
    <row r="596">
      <c r="A596" s="18"/>
      <c r="B596" s="18"/>
      <c r="C596" s="18"/>
      <c r="D596" s="19"/>
      <c r="F596" s="20"/>
      <c r="J596" s="20"/>
    </row>
    <row r="597">
      <c r="A597" s="18"/>
      <c r="B597" s="18"/>
      <c r="C597" s="18"/>
      <c r="D597" s="19"/>
      <c r="F597" s="20"/>
      <c r="J597" s="20"/>
    </row>
    <row r="598">
      <c r="A598" s="18"/>
      <c r="B598" s="18"/>
      <c r="C598" s="18"/>
      <c r="D598" s="19"/>
      <c r="F598" s="20"/>
      <c r="J598" s="20"/>
    </row>
    <row r="599">
      <c r="A599" s="18"/>
      <c r="B599" s="18"/>
      <c r="C599" s="18"/>
      <c r="D599" s="19"/>
      <c r="F599" s="20"/>
      <c r="J599" s="20"/>
    </row>
    <row r="600">
      <c r="A600" s="18"/>
      <c r="B600" s="18"/>
      <c r="C600" s="18"/>
      <c r="D600" s="19"/>
      <c r="F600" s="20"/>
      <c r="J600" s="20"/>
    </row>
    <row r="601">
      <c r="A601" s="18"/>
      <c r="B601" s="18"/>
      <c r="C601" s="18"/>
      <c r="D601" s="19"/>
      <c r="F601" s="20"/>
      <c r="J601" s="20"/>
    </row>
    <row r="602">
      <c r="A602" s="18"/>
      <c r="B602" s="18"/>
      <c r="C602" s="18"/>
      <c r="D602" s="19"/>
      <c r="F602" s="20"/>
      <c r="J602" s="20"/>
    </row>
    <row r="603">
      <c r="A603" s="18"/>
      <c r="B603" s="18"/>
      <c r="C603" s="18"/>
      <c r="D603" s="19"/>
      <c r="F603" s="20"/>
      <c r="J603" s="20"/>
    </row>
    <row r="604">
      <c r="A604" s="18"/>
      <c r="B604" s="18"/>
      <c r="C604" s="18"/>
      <c r="D604" s="19"/>
      <c r="F604" s="20"/>
      <c r="J604" s="20"/>
    </row>
    <row r="605">
      <c r="A605" s="18"/>
      <c r="B605" s="18"/>
      <c r="C605" s="18"/>
      <c r="D605" s="19"/>
      <c r="F605" s="20"/>
      <c r="J605" s="20"/>
    </row>
    <row r="606">
      <c r="A606" s="18"/>
      <c r="B606" s="18"/>
      <c r="C606" s="18"/>
      <c r="D606" s="19"/>
      <c r="F606" s="20"/>
      <c r="J606" s="20"/>
    </row>
    <row r="607">
      <c r="A607" s="18"/>
      <c r="B607" s="18"/>
      <c r="C607" s="18"/>
      <c r="D607" s="19"/>
      <c r="F607" s="20"/>
      <c r="J607" s="20"/>
    </row>
    <row r="608">
      <c r="A608" s="18"/>
      <c r="B608" s="18"/>
      <c r="C608" s="18"/>
      <c r="D608" s="19"/>
      <c r="F608" s="20"/>
      <c r="J608" s="20"/>
    </row>
    <row r="609">
      <c r="A609" s="18"/>
      <c r="B609" s="18"/>
      <c r="C609" s="18"/>
      <c r="D609" s="19"/>
      <c r="F609" s="20"/>
      <c r="J609" s="20"/>
    </row>
    <row r="610">
      <c r="A610" s="18"/>
      <c r="B610" s="18"/>
      <c r="C610" s="18"/>
      <c r="D610" s="19"/>
      <c r="F610" s="20"/>
      <c r="J610" s="20"/>
    </row>
    <row r="611">
      <c r="A611" s="18"/>
      <c r="B611" s="18"/>
      <c r="C611" s="18"/>
      <c r="D611" s="19"/>
      <c r="F611" s="20"/>
      <c r="J611" s="20"/>
    </row>
    <row r="612">
      <c r="A612" s="18"/>
      <c r="B612" s="18"/>
      <c r="C612" s="18"/>
      <c r="D612" s="19"/>
      <c r="F612" s="20"/>
      <c r="J612" s="20"/>
    </row>
    <row r="613">
      <c r="A613" s="18"/>
      <c r="B613" s="18"/>
      <c r="C613" s="18"/>
      <c r="D613" s="19"/>
      <c r="F613" s="20"/>
      <c r="J613" s="20"/>
    </row>
    <row r="614">
      <c r="A614" s="18"/>
      <c r="B614" s="18"/>
      <c r="C614" s="18"/>
      <c r="D614" s="19"/>
      <c r="F614" s="20"/>
      <c r="J614" s="20"/>
    </row>
    <row r="615">
      <c r="A615" s="18"/>
      <c r="B615" s="18"/>
      <c r="C615" s="18"/>
      <c r="D615" s="19"/>
      <c r="F615" s="20"/>
      <c r="J615" s="20"/>
    </row>
    <row r="616">
      <c r="A616" s="18"/>
      <c r="B616" s="18"/>
      <c r="C616" s="18"/>
      <c r="D616" s="19"/>
      <c r="F616" s="20"/>
      <c r="J616" s="20"/>
    </row>
    <row r="617">
      <c r="A617" s="18"/>
      <c r="B617" s="18"/>
      <c r="C617" s="18"/>
      <c r="D617" s="19"/>
      <c r="F617" s="20"/>
      <c r="J617" s="20"/>
    </row>
    <row r="618">
      <c r="A618" s="18"/>
      <c r="B618" s="18"/>
      <c r="C618" s="18"/>
      <c r="D618" s="19"/>
      <c r="F618" s="20"/>
      <c r="J618" s="20"/>
    </row>
    <row r="619">
      <c r="A619" s="18"/>
      <c r="B619" s="18"/>
      <c r="C619" s="18"/>
      <c r="D619" s="19"/>
      <c r="F619" s="20"/>
      <c r="J619" s="20"/>
    </row>
    <row r="620">
      <c r="A620" s="18"/>
      <c r="B620" s="18"/>
      <c r="C620" s="18"/>
      <c r="D620" s="19"/>
      <c r="F620" s="20"/>
      <c r="J620" s="20"/>
    </row>
    <row r="621">
      <c r="A621" s="18"/>
      <c r="B621" s="18"/>
      <c r="C621" s="18"/>
      <c r="D621" s="19"/>
      <c r="F621" s="20"/>
      <c r="J621" s="20"/>
    </row>
    <row r="622">
      <c r="A622" s="18"/>
      <c r="B622" s="18"/>
      <c r="C622" s="18"/>
      <c r="D622" s="19"/>
      <c r="F622" s="20"/>
      <c r="J622" s="20"/>
    </row>
    <row r="623">
      <c r="A623" s="18"/>
      <c r="B623" s="18"/>
      <c r="C623" s="18"/>
      <c r="D623" s="19"/>
      <c r="F623" s="20"/>
      <c r="J623" s="20"/>
    </row>
    <row r="624">
      <c r="A624" s="18"/>
      <c r="B624" s="18"/>
      <c r="C624" s="18"/>
      <c r="D624" s="19"/>
      <c r="F624" s="20"/>
      <c r="J624" s="20"/>
    </row>
    <row r="625">
      <c r="A625" s="18"/>
      <c r="B625" s="18"/>
      <c r="C625" s="18"/>
      <c r="D625" s="19"/>
      <c r="F625" s="20"/>
      <c r="J625" s="20"/>
    </row>
    <row r="626">
      <c r="A626" s="18"/>
      <c r="B626" s="18"/>
      <c r="C626" s="18"/>
      <c r="D626" s="19"/>
      <c r="F626" s="20"/>
      <c r="J626" s="20"/>
    </row>
    <row r="627">
      <c r="A627" s="18"/>
      <c r="B627" s="18"/>
      <c r="C627" s="18"/>
      <c r="D627" s="19"/>
      <c r="F627" s="20"/>
      <c r="J627" s="20"/>
    </row>
    <row r="628">
      <c r="A628" s="18"/>
      <c r="B628" s="18"/>
      <c r="C628" s="18"/>
      <c r="D628" s="19"/>
      <c r="F628" s="20"/>
      <c r="J628" s="20"/>
    </row>
    <row r="629">
      <c r="A629" s="18"/>
      <c r="B629" s="18"/>
      <c r="C629" s="18"/>
      <c r="D629" s="19"/>
      <c r="F629" s="20"/>
      <c r="J629" s="20"/>
    </row>
    <row r="630">
      <c r="A630" s="18"/>
      <c r="B630" s="18"/>
      <c r="C630" s="18"/>
      <c r="D630" s="19"/>
      <c r="F630" s="20"/>
      <c r="J630" s="20"/>
    </row>
    <row r="631">
      <c r="A631" s="18"/>
      <c r="B631" s="18"/>
      <c r="C631" s="18"/>
      <c r="D631" s="19"/>
      <c r="F631" s="20"/>
      <c r="J631" s="20"/>
    </row>
    <row r="632">
      <c r="A632" s="18"/>
      <c r="B632" s="18"/>
      <c r="C632" s="18"/>
      <c r="D632" s="19"/>
      <c r="F632" s="20"/>
      <c r="J632" s="20"/>
    </row>
    <row r="633">
      <c r="A633" s="18"/>
      <c r="B633" s="18"/>
      <c r="C633" s="18"/>
      <c r="D633" s="19"/>
      <c r="F633" s="20"/>
      <c r="J633" s="20"/>
    </row>
    <row r="634">
      <c r="A634" s="18"/>
      <c r="B634" s="18"/>
      <c r="C634" s="18"/>
      <c r="D634" s="19"/>
      <c r="F634" s="20"/>
      <c r="J634" s="20"/>
    </row>
    <row r="635">
      <c r="A635" s="18"/>
      <c r="B635" s="18"/>
      <c r="C635" s="18"/>
      <c r="D635" s="19"/>
      <c r="F635" s="20"/>
      <c r="J635" s="20"/>
    </row>
    <row r="636">
      <c r="A636" s="18"/>
      <c r="B636" s="18"/>
      <c r="C636" s="18"/>
      <c r="D636" s="19"/>
      <c r="F636" s="20"/>
      <c r="J636" s="20"/>
    </row>
    <row r="637">
      <c r="A637" s="18"/>
      <c r="B637" s="18"/>
      <c r="C637" s="18"/>
      <c r="D637" s="19"/>
      <c r="F637" s="20"/>
      <c r="J637" s="20"/>
    </row>
    <row r="638">
      <c r="A638" s="18"/>
      <c r="B638" s="18"/>
      <c r="C638" s="18"/>
      <c r="D638" s="19"/>
      <c r="F638" s="20"/>
      <c r="J638" s="20"/>
    </row>
    <row r="639">
      <c r="A639" s="18"/>
      <c r="B639" s="18"/>
      <c r="C639" s="18"/>
      <c r="D639" s="19"/>
      <c r="F639" s="20"/>
      <c r="J639" s="20"/>
    </row>
    <row r="640">
      <c r="A640" s="18"/>
      <c r="B640" s="18"/>
      <c r="C640" s="18"/>
      <c r="D640" s="19"/>
      <c r="F640" s="20"/>
      <c r="J640" s="20"/>
    </row>
    <row r="641">
      <c r="A641" s="18"/>
      <c r="B641" s="18"/>
      <c r="C641" s="18"/>
      <c r="D641" s="19"/>
      <c r="F641" s="20"/>
      <c r="J641" s="20"/>
    </row>
    <row r="642">
      <c r="A642" s="18"/>
      <c r="B642" s="18"/>
      <c r="C642" s="18"/>
      <c r="D642" s="19"/>
      <c r="F642" s="20"/>
      <c r="J642" s="20"/>
    </row>
    <row r="643">
      <c r="A643" s="18"/>
      <c r="B643" s="18"/>
      <c r="C643" s="18"/>
      <c r="D643" s="19"/>
      <c r="F643" s="20"/>
      <c r="J643" s="20"/>
    </row>
    <row r="644">
      <c r="A644" s="18"/>
      <c r="B644" s="18"/>
      <c r="C644" s="18"/>
      <c r="D644" s="19"/>
      <c r="F644" s="20"/>
      <c r="J644" s="20"/>
    </row>
    <row r="645">
      <c r="A645" s="18"/>
      <c r="B645" s="18"/>
      <c r="C645" s="18"/>
      <c r="D645" s="19"/>
      <c r="F645" s="20"/>
      <c r="J645" s="20"/>
    </row>
    <row r="646">
      <c r="A646" s="18"/>
      <c r="B646" s="18"/>
      <c r="C646" s="18"/>
      <c r="D646" s="19"/>
      <c r="F646" s="20"/>
      <c r="J646" s="20"/>
    </row>
    <row r="647">
      <c r="A647" s="18"/>
      <c r="B647" s="18"/>
      <c r="C647" s="18"/>
      <c r="D647" s="19"/>
      <c r="F647" s="20"/>
      <c r="J647" s="20"/>
    </row>
    <row r="648">
      <c r="A648" s="18"/>
      <c r="B648" s="18"/>
      <c r="C648" s="18"/>
      <c r="D648" s="19"/>
      <c r="F648" s="20"/>
      <c r="J648" s="20"/>
    </row>
    <row r="649">
      <c r="A649" s="18"/>
      <c r="B649" s="18"/>
      <c r="C649" s="18"/>
      <c r="D649" s="19"/>
      <c r="F649" s="20"/>
      <c r="J649" s="20"/>
    </row>
    <row r="650">
      <c r="A650" s="18"/>
      <c r="B650" s="18"/>
      <c r="C650" s="18"/>
      <c r="D650" s="19"/>
      <c r="F650" s="20"/>
      <c r="J650" s="20"/>
    </row>
    <row r="651">
      <c r="A651" s="18"/>
      <c r="B651" s="18"/>
      <c r="C651" s="18"/>
      <c r="D651" s="19"/>
      <c r="F651" s="20"/>
      <c r="J651" s="20"/>
    </row>
    <row r="652">
      <c r="A652" s="18"/>
      <c r="B652" s="18"/>
      <c r="C652" s="18"/>
      <c r="D652" s="19"/>
      <c r="F652" s="20"/>
      <c r="J652" s="20"/>
    </row>
    <row r="653">
      <c r="A653" s="18"/>
      <c r="B653" s="18"/>
      <c r="C653" s="18"/>
      <c r="D653" s="19"/>
      <c r="F653" s="20"/>
      <c r="J653" s="20"/>
    </row>
    <row r="654">
      <c r="A654" s="18"/>
      <c r="B654" s="18"/>
      <c r="C654" s="18"/>
      <c r="D654" s="19"/>
      <c r="F654" s="20"/>
      <c r="J654" s="20"/>
    </row>
    <row r="655">
      <c r="A655" s="18"/>
      <c r="B655" s="18"/>
      <c r="C655" s="18"/>
      <c r="D655" s="19"/>
      <c r="F655" s="20"/>
      <c r="J655" s="20"/>
    </row>
    <row r="656">
      <c r="A656" s="18"/>
      <c r="B656" s="18"/>
      <c r="C656" s="18"/>
      <c r="D656" s="19"/>
      <c r="F656" s="20"/>
      <c r="J656" s="20"/>
    </row>
    <row r="657">
      <c r="A657" s="18"/>
      <c r="B657" s="18"/>
      <c r="C657" s="18"/>
      <c r="D657" s="19"/>
      <c r="F657" s="20"/>
      <c r="J657" s="20"/>
    </row>
    <row r="658">
      <c r="A658" s="18"/>
      <c r="B658" s="18"/>
      <c r="C658" s="18"/>
      <c r="D658" s="19"/>
      <c r="F658" s="20"/>
      <c r="J658" s="20"/>
    </row>
    <row r="659">
      <c r="A659" s="18"/>
      <c r="B659" s="18"/>
      <c r="C659" s="18"/>
      <c r="D659" s="19"/>
      <c r="F659" s="20"/>
      <c r="J659" s="20"/>
    </row>
    <row r="660">
      <c r="A660" s="18"/>
      <c r="B660" s="18"/>
      <c r="C660" s="18"/>
      <c r="D660" s="19"/>
      <c r="F660" s="20"/>
      <c r="J660" s="20"/>
    </row>
    <row r="661">
      <c r="A661" s="18"/>
      <c r="B661" s="18"/>
      <c r="C661" s="18"/>
      <c r="D661" s="19"/>
      <c r="F661" s="20"/>
      <c r="J661" s="20"/>
    </row>
    <row r="662">
      <c r="A662" s="18"/>
      <c r="B662" s="18"/>
      <c r="C662" s="18"/>
      <c r="D662" s="19"/>
      <c r="F662" s="20"/>
      <c r="J662" s="20"/>
    </row>
    <row r="663">
      <c r="A663" s="18"/>
      <c r="B663" s="18"/>
      <c r="C663" s="18"/>
      <c r="D663" s="19"/>
      <c r="F663" s="20"/>
      <c r="J663" s="20"/>
    </row>
    <row r="664">
      <c r="A664" s="18"/>
      <c r="B664" s="18"/>
      <c r="C664" s="18"/>
      <c r="D664" s="19"/>
      <c r="F664" s="20"/>
      <c r="J664" s="20"/>
    </row>
    <row r="665">
      <c r="A665" s="18"/>
      <c r="B665" s="18"/>
      <c r="C665" s="18"/>
      <c r="D665" s="19"/>
      <c r="F665" s="20"/>
      <c r="J665" s="20"/>
    </row>
    <row r="666">
      <c r="A666" s="18"/>
      <c r="B666" s="18"/>
      <c r="C666" s="18"/>
      <c r="D666" s="19"/>
      <c r="F666" s="20"/>
      <c r="J666" s="20"/>
    </row>
    <row r="667">
      <c r="A667" s="18"/>
      <c r="B667" s="18"/>
      <c r="C667" s="18"/>
      <c r="D667" s="19"/>
      <c r="F667" s="20"/>
      <c r="J667" s="20"/>
    </row>
    <row r="668">
      <c r="A668" s="18"/>
      <c r="B668" s="18"/>
      <c r="C668" s="18"/>
      <c r="D668" s="19"/>
      <c r="F668" s="20"/>
      <c r="J668" s="20"/>
    </row>
    <row r="669">
      <c r="A669" s="18"/>
      <c r="B669" s="18"/>
      <c r="C669" s="18"/>
      <c r="D669" s="19"/>
      <c r="F669" s="20"/>
      <c r="J669" s="20"/>
    </row>
    <row r="670">
      <c r="A670" s="18"/>
      <c r="B670" s="18"/>
      <c r="C670" s="18"/>
      <c r="D670" s="19"/>
      <c r="F670" s="20"/>
      <c r="J670" s="20"/>
    </row>
    <row r="671">
      <c r="A671" s="18"/>
      <c r="B671" s="18"/>
      <c r="C671" s="18"/>
      <c r="D671" s="19"/>
      <c r="F671" s="20"/>
      <c r="J671" s="20"/>
    </row>
    <row r="672">
      <c r="A672" s="18"/>
      <c r="B672" s="18"/>
      <c r="C672" s="18"/>
      <c r="D672" s="19"/>
      <c r="F672" s="20"/>
      <c r="J672" s="20"/>
    </row>
    <row r="673">
      <c r="A673" s="18"/>
      <c r="B673" s="18"/>
      <c r="C673" s="18"/>
      <c r="D673" s="19"/>
      <c r="F673" s="20"/>
      <c r="J673" s="20"/>
    </row>
    <row r="674">
      <c r="A674" s="18"/>
      <c r="B674" s="18"/>
      <c r="C674" s="18"/>
      <c r="D674" s="19"/>
      <c r="F674" s="20"/>
      <c r="J674" s="20"/>
    </row>
    <row r="675">
      <c r="A675" s="18"/>
      <c r="B675" s="18"/>
      <c r="C675" s="18"/>
      <c r="D675" s="19"/>
      <c r="F675" s="20"/>
      <c r="J675" s="20"/>
    </row>
    <row r="676">
      <c r="A676" s="18"/>
      <c r="B676" s="18"/>
      <c r="C676" s="18"/>
      <c r="D676" s="19"/>
      <c r="F676" s="20"/>
      <c r="J676" s="20"/>
    </row>
    <row r="677">
      <c r="A677" s="18"/>
      <c r="B677" s="18"/>
      <c r="C677" s="18"/>
      <c r="D677" s="19"/>
      <c r="F677" s="20"/>
      <c r="J677" s="20"/>
    </row>
    <row r="678">
      <c r="A678" s="18"/>
      <c r="B678" s="18"/>
      <c r="C678" s="18"/>
      <c r="D678" s="19"/>
      <c r="F678" s="20"/>
      <c r="J678" s="20"/>
    </row>
    <row r="679">
      <c r="A679" s="18"/>
      <c r="B679" s="18"/>
      <c r="C679" s="18"/>
      <c r="D679" s="19"/>
      <c r="F679" s="20"/>
      <c r="J679" s="20"/>
    </row>
    <row r="680">
      <c r="A680" s="18"/>
      <c r="B680" s="18"/>
      <c r="C680" s="18"/>
      <c r="D680" s="19"/>
      <c r="F680" s="20"/>
      <c r="J680" s="20"/>
    </row>
    <row r="681">
      <c r="A681" s="18"/>
      <c r="B681" s="18"/>
      <c r="C681" s="18"/>
      <c r="D681" s="19"/>
      <c r="F681" s="20"/>
      <c r="J681" s="20"/>
    </row>
    <row r="682">
      <c r="A682" s="18"/>
      <c r="B682" s="18"/>
      <c r="C682" s="18"/>
      <c r="D682" s="19"/>
      <c r="F682" s="20"/>
      <c r="J682" s="20"/>
    </row>
    <row r="683">
      <c r="A683" s="18"/>
      <c r="B683" s="18"/>
      <c r="C683" s="18"/>
      <c r="D683" s="19"/>
      <c r="F683" s="20"/>
      <c r="J683" s="20"/>
    </row>
    <row r="684">
      <c r="A684" s="18"/>
      <c r="B684" s="18"/>
      <c r="C684" s="18"/>
      <c r="D684" s="19"/>
      <c r="F684" s="20"/>
      <c r="J684" s="20"/>
    </row>
    <row r="685">
      <c r="A685" s="18"/>
      <c r="B685" s="18"/>
      <c r="C685" s="18"/>
      <c r="D685" s="19"/>
      <c r="F685" s="20"/>
      <c r="J685" s="20"/>
    </row>
    <row r="686">
      <c r="A686" s="18"/>
      <c r="B686" s="18"/>
      <c r="C686" s="18"/>
      <c r="D686" s="19"/>
      <c r="F686" s="20"/>
      <c r="J686" s="20"/>
    </row>
    <row r="687">
      <c r="A687" s="18"/>
      <c r="B687" s="18"/>
      <c r="C687" s="18"/>
      <c r="D687" s="19"/>
      <c r="F687" s="20"/>
      <c r="J687" s="20"/>
    </row>
    <row r="688">
      <c r="A688" s="18"/>
      <c r="B688" s="18"/>
      <c r="C688" s="18"/>
      <c r="D688" s="19"/>
      <c r="F688" s="20"/>
      <c r="J688" s="20"/>
    </row>
    <row r="689">
      <c r="A689" s="18"/>
      <c r="B689" s="18"/>
      <c r="C689" s="18"/>
      <c r="D689" s="19"/>
      <c r="F689" s="20"/>
      <c r="J689" s="20"/>
    </row>
    <row r="690">
      <c r="A690" s="18"/>
      <c r="B690" s="18"/>
      <c r="C690" s="18"/>
      <c r="D690" s="19"/>
      <c r="F690" s="20"/>
      <c r="J690" s="20"/>
    </row>
    <row r="691">
      <c r="A691" s="18"/>
      <c r="B691" s="18"/>
      <c r="C691" s="18"/>
      <c r="D691" s="19"/>
      <c r="F691" s="20"/>
      <c r="J691" s="20"/>
    </row>
    <row r="692">
      <c r="A692" s="18"/>
      <c r="B692" s="18"/>
      <c r="C692" s="18"/>
      <c r="D692" s="19"/>
      <c r="F692" s="20"/>
      <c r="J692" s="20"/>
    </row>
    <row r="693">
      <c r="A693" s="18"/>
      <c r="B693" s="18"/>
      <c r="C693" s="18"/>
      <c r="D693" s="19"/>
      <c r="F693" s="20"/>
      <c r="J693" s="20"/>
    </row>
    <row r="694">
      <c r="A694" s="18"/>
      <c r="B694" s="18"/>
      <c r="C694" s="18"/>
      <c r="D694" s="19"/>
      <c r="F694" s="20"/>
      <c r="J694" s="20"/>
    </row>
    <row r="695">
      <c r="A695" s="18"/>
      <c r="B695" s="18"/>
      <c r="C695" s="18"/>
      <c r="D695" s="19"/>
      <c r="F695" s="20"/>
      <c r="J695" s="20"/>
    </row>
    <row r="696">
      <c r="A696" s="18"/>
      <c r="B696" s="18"/>
      <c r="C696" s="18"/>
      <c r="D696" s="19"/>
      <c r="F696" s="20"/>
      <c r="J696" s="20"/>
    </row>
    <row r="697">
      <c r="A697" s="18"/>
      <c r="B697" s="18"/>
      <c r="C697" s="18"/>
      <c r="D697" s="19"/>
      <c r="F697" s="20"/>
      <c r="J697" s="20"/>
    </row>
    <row r="698">
      <c r="A698" s="18"/>
      <c r="B698" s="18"/>
      <c r="C698" s="18"/>
      <c r="D698" s="19"/>
      <c r="F698" s="20"/>
      <c r="J698" s="20"/>
    </row>
    <row r="699">
      <c r="A699" s="18"/>
      <c r="B699" s="18"/>
      <c r="C699" s="18"/>
      <c r="D699" s="19"/>
      <c r="F699" s="20"/>
      <c r="J699" s="20"/>
    </row>
    <row r="700">
      <c r="A700" s="18"/>
      <c r="B700" s="18"/>
      <c r="C700" s="18"/>
      <c r="D700" s="19"/>
      <c r="F700" s="20"/>
      <c r="J700" s="20"/>
    </row>
    <row r="701">
      <c r="A701" s="18"/>
      <c r="B701" s="18"/>
      <c r="C701" s="18"/>
      <c r="D701" s="19"/>
      <c r="F701" s="20"/>
      <c r="J701" s="20"/>
    </row>
    <row r="702">
      <c r="A702" s="18"/>
      <c r="B702" s="18"/>
      <c r="C702" s="18"/>
      <c r="D702" s="19"/>
      <c r="F702" s="20"/>
      <c r="J702" s="20"/>
    </row>
    <row r="703">
      <c r="A703" s="18"/>
      <c r="B703" s="18"/>
      <c r="C703" s="18"/>
      <c r="D703" s="19"/>
      <c r="F703" s="20"/>
      <c r="J703" s="20"/>
    </row>
    <row r="704">
      <c r="A704" s="18"/>
      <c r="B704" s="18"/>
      <c r="C704" s="18"/>
      <c r="D704" s="19"/>
      <c r="F704" s="20"/>
      <c r="J704" s="20"/>
    </row>
    <row r="705">
      <c r="A705" s="18"/>
      <c r="B705" s="18"/>
      <c r="C705" s="18"/>
      <c r="D705" s="19"/>
      <c r="F705" s="20"/>
      <c r="J705" s="20"/>
    </row>
    <row r="706">
      <c r="A706" s="18"/>
      <c r="B706" s="18"/>
      <c r="C706" s="18"/>
      <c r="D706" s="19"/>
      <c r="F706" s="20"/>
      <c r="J706" s="20"/>
    </row>
    <row r="707">
      <c r="A707" s="18"/>
      <c r="B707" s="18"/>
      <c r="C707" s="18"/>
      <c r="D707" s="19"/>
      <c r="F707" s="20"/>
      <c r="J707" s="20"/>
    </row>
    <row r="708">
      <c r="A708" s="18"/>
      <c r="B708" s="18"/>
      <c r="C708" s="18"/>
      <c r="D708" s="19"/>
      <c r="F708" s="20"/>
      <c r="J708" s="20"/>
    </row>
    <row r="709">
      <c r="A709" s="18"/>
      <c r="B709" s="18"/>
      <c r="C709" s="18"/>
      <c r="D709" s="19"/>
      <c r="F709" s="20"/>
      <c r="J709" s="20"/>
    </row>
    <row r="710">
      <c r="A710" s="18"/>
      <c r="B710" s="18"/>
      <c r="C710" s="18"/>
      <c r="D710" s="19"/>
      <c r="F710" s="20"/>
      <c r="J710" s="20"/>
    </row>
    <row r="711">
      <c r="A711" s="18"/>
      <c r="B711" s="18"/>
      <c r="C711" s="18"/>
      <c r="D711" s="19"/>
      <c r="F711" s="20"/>
      <c r="J711" s="20"/>
    </row>
    <row r="712">
      <c r="A712" s="18"/>
      <c r="B712" s="18"/>
      <c r="C712" s="18"/>
      <c r="D712" s="19"/>
      <c r="F712" s="20"/>
      <c r="J712" s="20"/>
    </row>
    <row r="713">
      <c r="A713" s="18"/>
      <c r="B713" s="18"/>
      <c r="C713" s="18"/>
      <c r="D713" s="19"/>
      <c r="F713" s="20"/>
      <c r="J713" s="20"/>
    </row>
    <row r="714">
      <c r="A714" s="18"/>
      <c r="B714" s="18"/>
      <c r="C714" s="18"/>
      <c r="D714" s="19"/>
      <c r="F714" s="20"/>
      <c r="J714" s="20"/>
    </row>
    <row r="715">
      <c r="A715" s="18"/>
      <c r="B715" s="18"/>
      <c r="C715" s="18"/>
      <c r="D715" s="19"/>
      <c r="F715" s="20"/>
      <c r="J715" s="20"/>
    </row>
    <row r="716">
      <c r="A716" s="18"/>
      <c r="B716" s="18"/>
      <c r="C716" s="18"/>
      <c r="D716" s="19"/>
      <c r="F716" s="20"/>
      <c r="J716" s="20"/>
    </row>
    <row r="717">
      <c r="A717" s="18"/>
      <c r="B717" s="18"/>
      <c r="C717" s="18"/>
      <c r="D717" s="19"/>
      <c r="F717" s="20"/>
      <c r="J717" s="20"/>
    </row>
    <row r="718">
      <c r="A718" s="18"/>
      <c r="B718" s="18"/>
      <c r="C718" s="18"/>
      <c r="D718" s="19"/>
      <c r="F718" s="20"/>
      <c r="J718" s="20"/>
    </row>
    <row r="719">
      <c r="A719" s="18"/>
      <c r="B719" s="18"/>
      <c r="C719" s="18"/>
      <c r="D719" s="19"/>
      <c r="F719" s="20"/>
      <c r="J719" s="20"/>
    </row>
    <row r="720">
      <c r="A720" s="18"/>
      <c r="B720" s="18"/>
      <c r="C720" s="18"/>
      <c r="D720" s="19"/>
      <c r="F720" s="20"/>
      <c r="J720" s="20"/>
    </row>
    <row r="721">
      <c r="A721" s="18"/>
      <c r="B721" s="18"/>
      <c r="C721" s="18"/>
      <c r="D721" s="19"/>
      <c r="F721" s="20"/>
      <c r="J721" s="20"/>
    </row>
    <row r="722">
      <c r="A722" s="18"/>
      <c r="B722" s="18"/>
      <c r="C722" s="18"/>
      <c r="D722" s="19"/>
      <c r="F722" s="20"/>
      <c r="J722" s="20"/>
    </row>
    <row r="723">
      <c r="A723" s="18"/>
      <c r="B723" s="18"/>
      <c r="C723" s="18"/>
      <c r="D723" s="19"/>
      <c r="F723" s="20"/>
      <c r="J723" s="20"/>
    </row>
    <row r="724">
      <c r="A724" s="18"/>
      <c r="B724" s="18"/>
      <c r="C724" s="18"/>
      <c r="D724" s="19"/>
      <c r="F724" s="20"/>
      <c r="J724" s="20"/>
    </row>
    <row r="725">
      <c r="A725" s="18"/>
      <c r="B725" s="18"/>
      <c r="C725" s="18"/>
      <c r="D725" s="19"/>
      <c r="F725" s="20"/>
      <c r="J725" s="20"/>
    </row>
    <row r="726">
      <c r="A726" s="18"/>
      <c r="B726" s="18"/>
      <c r="C726" s="18"/>
      <c r="D726" s="19"/>
      <c r="F726" s="20"/>
      <c r="J726" s="20"/>
    </row>
    <row r="727">
      <c r="A727" s="18"/>
      <c r="B727" s="18"/>
      <c r="C727" s="18"/>
      <c r="D727" s="19"/>
      <c r="F727" s="20"/>
      <c r="J727" s="20"/>
    </row>
    <row r="728">
      <c r="A728" s="18"/>
      <c r="B728" s="18"/>
      <c r="C728" s="18"/>
      <c r="D728" s="19"/>
      <c r="F728" s="20"/>
      <c r="J728" s="20"/>
    </row>
    <row r="729">
      <c r="A729" s="18"/>
      <c r="B729" s="18"/>
      <c r="C729" s="18"/>
      <c r="D729" s="19"/>
      <c r="F729" s="20"/>
      <c r="J729" s="20"/>
    </row>
    <row r="730">
      <c r="A730" s="18"/>
      <c r="B730" s="18"/>
      <c r="C730" s="18"/>
      <c r="D730" s="19"/>
      <c r="F730" s="20"/>
      <c r="J730" s="20"/>
    </row>
    <row r="731">
      <c r="A731" s="18"/>
      <c r="B731" s="18"/>
      <c r="C731" s="18"/>
      <c r="D731" s="19"/>
      <c r="F731" s="20"/>
      <c r="J731" s="20"/>
    </row>
    <row r="732">
      <c r="A732" s="18"/>
      <c r="B732" s="18"/>
      <c r="C732" s="18"/>
      <c r="D732" s="19"/>
      <c r="F732" s="20"/>
      <c r="J732" s="20"/>
    </row>
    <row r="733">
      <c r="A733" s="18"/>
      <c r="B733" s="18"/>
      <c r="C733" s="18"/>
      <c r="D733" s="19"/>
      <c r="F733" s="20"/>
      <c r="J733" s="20"/>
    </row>
    <row r="734">
      <c r="A734" s="18"/>
      <c r="B734" s="18"/>
      <c r="C734" s="18"/>
      <c r="D734" s="19"/>
      <c r="F734" s="20"/>
      <c r="J734" s="20"/>
    </row>
    <row r="735">
      <c r="A735" s="18"/>
      <c r="B735" s="18"/>
      <c r="C735" s="18"/>
      <c r="D735" s="19"/>
      <c r="F735" s="20"/>
      <c r="J735" s="20"/>
    </row>
    <row r="736">
      <c r="A736" s="18"/>
      <c r="B736" s="18"/>
      <c r="C736" s="18"/>
      <c r="D736" s="19"/>
      <c r="F736" s="20"/>
      <c r="J736" s="20"/>
    </row>
    <row r="737">
      <c r="A737" s="18"/>
      <c r="B737" s="18"/>
      <c r="C737" s="18"/>
      <c r="D737" s="19"/>
      <c r="F737" s="20"/>
      <c r="J737" s="20"/>
    </row>
    <row r="738">
      <c r="A738" s="18"/>
      <c r="B738" s="18"/>
      <c r="C738" s="18"/>
      <c r="D738" s="19"/>
      <c r="F738" s="20"/>
      <c r="J738" s="20"/>
    </row>
    <row r="739">
      <c r="A739" s="18"/>
      <c r="B739" s="18"/>
      <c r="C739" s="18"/>
      <c r="D739" s="19"/>
      <c r="F739" s="20"/>
      <c r="J739" s="20"/>
    </row>
    <row r="740">
      <c r="A740" s="18"/>
      <c r="B740" s="18"/>
      <c r="C740" s="18"/>
      <c r="D740" s="19"/>
      <c r="F740" s="20"/>
      <c r="J740" s="20"/>
    </row>
    <row r="741">
      <c r="A741" s="18"/>
      <c r="B741" s="18"/>
      <c r="C741" s="18"/>
      <c r="D741" s="19"/>
      <c r="F741" s="20"/>
      <c r="J741" s="20"/>
    </row>
    <row r="742">
      <c r="A742" s="18"/>
      <c r="B742" s="18"/>
      <c r="C742" s="18"/>
      <c r="D742" s="19"/>
      <c r="F742" s="20"/>
      <c r="J742" s="20"/>
    </row>
    <row r="743">
      <c r="A743" s="18"/>
      <c r="B743" s="18"/>
      <c r="C743" s="18"/>
      <c r="D743" s="19"/>
      <c r="F743" s="20"/>
      <c r="J743" s="20"/>
    </row>
    <row r="744">
      <c r="A744" s="18"/>
      <c r="B744" s="18"/>
      <c r="C744" s="18"/>
      <c r="D744" s="19"/>
      <c r="F744" s="20"/>
      <c r="J744" s="20"/>
    </row>
    <row r="745">
      <c r="A745" s="18"/>
      <c r="B745" s="18"/>
      <c r="C745" s="18"/>
      <c r="D745" s="19"/>
      <c r="F745" s="20"/>
      <c r="J745" s="20"/>
    </row>
    <row r="746">
      <c r="A746" s="18"/>
      <c r="B746" s="18"/>
      <c r="C746" s="18"/>
      <c r="D746" s="19"/>
      <c r="F746" s="20"/>
      <c r="J746" s="20"/>
    </row>
    <row r="747">
      <c r="A747" s="18"/>
      <c r="B747" s="18"/>
      <c r="C747" s="18"/>
      <c r="D747" s="19"/>
      <c r="F747" s="20"/>
      <c r="J747" s="20"/>
    </row>
    <row r="748">
      <c r="A748" s="18"/>
      <c r="B748" s="18"/>
      <c r="C748" s="18"/>
      <c r="D748" s="19"/>
      <c r="F748" s="20"/>
      <c r="J748" s="20"/>
    </row>
    <row r="749">
      <c r="A749" s="18"/>
      <c r="B749" s="18"/>
      <c r="C749" s="18"/>
      <c r="D749" s="19"/>
      <c r="F749" s="20"/>
      <c r="J749" s="20"/>
    </row>
    <row r="750">
      <c r="A750" s="18"/>
      <c r="B750" s="18"/>
      <c r="C750" s="18"/>
      <c r="D750" s="19"/>
      <c r="F750" s="20"/>
      <c r="J750" s="20"/>
    </row>
    <row r="751">
      <c r="A751" s="18"/>
      <c r="B751" s="18"/>
      <c r="C751" s="18"/>
      <c r="D751" s="19"/>
      <c r="F751" s="20"/>
      <c r="J751" s="20"/>
    </row>
    <row r="752">
      <c r="A752" s="18"/>
      <c r="B752" s="18"/>
      <c r="C752" s="18"/>
      <c r="D752" s="19"/>
      <c r="F752" s="20"/>
      <c r="J752" s="20"/>
    </row>
    <row r="753">
      <c r="A753" s="18"/>
      <c r="B753" s="18"/>
      <c r="C753" s="18"/>
      <c r="D753" s="19"/>
      <c r="F753" s="20"/>
      <c r="J753" s="20"/>
    </row>
    <row r="754">
      <c r="A754" s="18"/>
      <c r="B754" s="18"/>
      <c r="C754" s="18"/>
      <c r="D754" s="19"/>
      <c r="F754" s="20"/>
      <c r="J754" s="20"/>
    </row>
    <row r="755">
      <c r="A755" s="18"/>
      <c r="B755" s="18"/>
      <c r="C755" s="18"/>
      <c r="D755" s="19"/>
      <c r="F755" s="20"/>
      <c r="J755" s="20"/>
    </row>
    <row r="756">
      <c r="A756" s="18"/>
      <c r="B756" s="18"/>
      <c r="C756" s="18"/>
      <c r="D756" s="19"/>
      <c r="F756" s="20"/>
      <c r="J756" s="20"/>
    </row>
    <row r="757">
      <c r="A757" s="18"/>
      <c r="B757" s="18"/>
      <c r="C757" s="18"/>
      <c r="D757" s="19"/>
      <c r="F757" s="20"/>
      <c r="J757" s="20"/>
    </row>
    <row r="758">
      <c r="A758" s="18"/>
      <c r="B758" s="18"/>
      <c r="C758" s="18"/>
      <c r="D758" s="19"/>
      <c r="F758" s="20"/>
      <c r="J758" s="20"/>
    </row>
    <row r="759">
      <c r="A759" s="18"/>
      <c r="B759" s="18"/>
      <c r="C759" s="18"/>
      <c r="D759" s="19"/>
      <c r="F759" s="20"/>
      <c r="J759" s="20"/>
    </row>
    <row r="760">
      <c r="A760" s="18"/>
      <c r="B760" s="18"/>
      <c r="C760" s="18"/>
      <c r="D760" s="19"/>
      <c r="F760" s="20"/>
      <c r="J760" s="20"/>
    </row>
    <row r="761">
      <c r="A761" s="18"/>
      <c r="B761" s="18"/>
      <c r="C761" s="18"/>
      <c r="D761" s="19"/>
      <c r="F761" s="20"/>
      <c r="J761" s="20"/>
    </row>
    <row r="762">
      <c r="A762" s="18"/>
      <c r="B762" s="18"/>
      <c r="C762" s="18"/>
      <c r="D762" s="19"/>
      <c r="F762" s="20"/>
      <c r="J762" s="20"/>
    </row>
    <row r="763">
      <c r="A763" s="18"/>
      <c r="B763" s="18"/>
      <c r="C763" s="18"/>
      <c r="D763" s="19"/>
      <c r="F763" s="20"/>
      <c r="J763" s="20"/>
    </row>
    <row r="764">
      <c r="A764" s="18"/>
      <c r="B764" s="18"/>
      <c r="C764" s="18"/>
      <c r="D764" s="19"/>
      <c r="F764" s="20"/>
      <c r="J764" s="20"/>
    </row>
    <row r="765">
      <c r="A765" s="18"/>
      <c r="B765" s="18"/>
      <c r="C765" s="18"/>
      <c r="D765" s="19"/>
      <c r="F765" s="20"/>
      <c r="J765" s="20"/>
    </row>
    <row r="766">
      <c r="A766" s="18"/>
      <c r="B766" s="18"/>
      <c r="C766" s="18"/>
      <c r="D766" s="19"/>
      <c r="F766" s="20"/>
      <c r="J766" s="20"/>
    </row>
    <row r="767">
      <c r="A767" s="18"/>
      <c r="B767" s="18"/>
      <c r="C767" s="18"/>
      <c r="D767" s="19"/>
      <c r="F767" s="20"/>
      <c r="J767" s="20"/>
    </row>
    <row r="768">
      <c r="A768" s="18"/>
      <c r="B768" s="18"/>
      <c r="C768" s="18"/>
      <c r="D768" s="19"/>
      <c r="F768" s="20"/>
      <c r="J768" s="20"/>
    </row>
    <row r="769">
      <c r="A769" s="18"/>
      <c r="B769" s="18"/>
      <c r="C769" s="18"/>
      <c r="D769" s="19"/>
      <c r="F769" s="20"/>
      <c r="J769" s="20"/>
    </row>
    <row r="770">
      <c r="A770" s="18"/>
      <c r="B770" s="18"/>
      <c r="C770" s="18"/>
      <c r="D770" s="19"/>
      <c r="F770" s="20"/>
      <c r="J770" s="20"/>
    </row>
    <row r="771">
      <c r="A771" s="18"/>
      <c r="B771" s="18"/>
      <c r="C771" s="18"/>
      <c r="D771" s="19"/>
      <c r="F771" s="20"/>
      <c r="J771" s="20"/>
    </row>
    <row r="772">
      <c r="A772" s="18"/>
      <c r="B772" s="18"/>
      <c r="C772" s="18"/>
      <c r="D772" s="19"/>
      <c r="F772" s="20"/>
      <c r="J772" s="20"/>
    </row>
    <row r="773">
      <c r="A773" s="18"/>
      <c r="B773" s="18"/>
      <c r="C773" s="18"/>
      <c r="D773" s="19"/>
      <c r="F773" s="20"/>
      <c r="J773" s="20"/>
    </row>
    <row r="774">
      <c r="A774" s="18"/>
      <c r="B774" s="18"/>
      <c r="C774" s="18"/>
      <c r="D774" s="19"/>
      <c r="F774" s="20"/>
      <c r="J774" s="20"/>
    </row>
    <row r="775">
      <c r="A775" s="18"/>
      <c r="B775" s="18"/>
      <c r="C775" s="18"/>
      <c r="D775" s="19"/>
      <c r="F775" s="20"/>
      <c r="J775" s="20"/>
    </row>
    <row r="776">
      <c r="A776" s="18"/>
      <c r="B776" s="18"/>
      <c r="C776" s="18"/>
      <c r="D776" s="19"/>
      <c r="F776" s="20"/>
      <c r="J776" s="20"/>
    </row>
    <row r="777">
      <c r="A777" s="18"/>
      <c r="B777" s="18"/>
      <c r="C777" s="18"/>
      <c r="D777" s="19"/>
      <c r="F777" s="20"/>
      <c r="J777" s="20"/>
    </row>
    <row r="778">
      <c r="A778" s="18"/>
      <c r="B778" s="18"/>
      <c r="C778" s="18"/>
      <c r="D778" s="19"/>
      <c r="F778" s="20"/>
      <c r="J778" s="20"/>
    </row>
    <row r="779">
      <c r="A779" s="18"/>
      <c r="B779" s="18"/>
      <c r="C779" s="18"/>
      <c r="D779" s="19"/>
      <c r="F779" s="20"/>
      <c r="J779" s="20"/>
    </row>
    <row r="780">
      <c r="A780" s="18"/>
      <c r="B780" s="18"/>
      <c r="C780" s="18"/>
      <c r="D780" s="19"/>
      <c r="F780" s="20"/>
      <c r="J780" s="20"/>
    </row>
    <row r="781">
      <c r="A781" s="18"/>
      <c r="B781" s="18"/>
      <c r="C781" s="18"/>
      <c r="D781" s="19"/>
      <c r="F781" s="20"/>
      <c r="J781" s="20"/>
    </row>
    <row r="782">
      <c r="A782" s="18"/>
      <c r="B782" s="18"/>
      <c r="C782" s="18"/>
      <c r="D782" s="19"/>
      <c r="F782" s="20"/>
      <c r="J782" s="20"/>
    </row>
    <row r="783">
      <c r="A783" s="18"/>
      <c r="B783" s="18"/>
      <c r="C783" s="18"/>
      <c r="D783" s="19"/>
      <c r="F783" s="20"/>
      <c r="J783" s="20"/>
    </row>
    <row r="784">
      <c r="A784" s="18"/>
      <c r="B784" s="18"/>
      <c r="C784" s="18"/>
      <c r="D784" s="19"/>
      <c r="F784" s="20"/>
      <c r="J784" s="20"/>
    </row>
    <row r="785">
      <c r="A785" s="18"/>
      <c r="B785" s="18"/>
      <c r="C785" s="18"/>
      <c r="D785" s="19"/>
      <c r="F785" s="20"/>
      <c r="J785" s="20"/>
    </row>
    <row r="786">
      <c r="A786" s="18"/>
      <c r="B786" s="18"/>
      <c r="C786" s="18"/>
      <c r="D786" s="19"/>
      <c r="F786" s="20"/>
      <c r="J786" s="20"/>
    </row>
    <row r="787">
      <c r="A787" s="18"/>
      <c r="B787" s="18"/>
      <c r="C787" s="18"/>
      <c r="D787" s="19"/>
      <c r="F787" s="20"/>
      <c r="J787" s="20"/>
    </row>
    <row r="788">
      <c r="A788" s="18"/>
      <c r="B788" s="18"/>
      <c r="C788" s="18"/>
      <c r="D788" s="19"/>
      <c r="F788" s="20"/>
      <c r="J788" s="20"/>
    </row>
    <row r="789">
      <c r="A789" s="18"/>
      <c r="B789" s="18"/>
      <c r="C789" s="18"/>
      <c r="D789" s="19"/>
      <c r="F789" s="20"/>
      <c r="J789" s="20"/>
    </row>
    <row r="790">
      <c r="A790" s="18"/>
      <c r="B790" s="18"/>
      <c r="C790" s="18"/>
      <c r="D790" s="19"/>
      <c r="F790" s="20"/>
      <c r="J790" s="20"/>
    </row>
    <row r="791">
      <c r="A791" s="18"/>
      <c r="B791" s="18"/>
      <c r="C791" s="18"/>
      <c r="D791" s="19"/>
      <c r="F791" s="20"/>
      <c r="J791" s="20"/>
    </row>
    <row r="792">
      <c r="A792" s="18"/>
      <c r="B792" s="18"/>
      <c r="C792" s="18"/>
      <c r="D792" s="19"/>
      <c r="F792" s="20"/>
      <c r="J792" s="20"/>
    </row>
    <row r="793">
      <c r="A793" s="18"/>
      <c r="B793" s="18"/>
      <c r="C793" s="18"/>
      <c r="D793" s="19"/>
      <c r="F793" s="20"/>
      <c r="J793" s="20"/>
    </row>
    <row r="794">
      <c r="A794" s="18"/>
      <c r="B794" s="18"/>
      <c r="C794" s="18"/>
      <c r="D794" s="19"/>
      <c r="F794" s="20"/>
      <c r="J794" s="20"/>
    </row>
    <row r="795">
      <c r="A795" s="18"/>
      <c r="B795" s="18"/>
      <c r="C795" s="18"/>
      <c r="D795" s="19"/>
      <c r="F795" s="20"/>
      <c r="J795" s="20"/>
    </row>
    <row r="796">
      <c r="A796" s="18"/>
      <c r="B796" s="18"/>
      <c r="C796" s="18"/>
      <c r="D796" s="19"/>
      <c r="F796" s="20"/>
      <c r="J796" s="20"/>
    </row>
    <row r="797">
      <c r="A797" s="18"/>
      <c r="B797" s="18"/>
      <c r="C797" s="18"/>
      <c r="D797" s="19"/>
      <c r="F797" s="20"/>
      <c r="J797" s="20"/>
    </row>
    <row r="798">
      <c r="A798" s="18"/>
      <c r="B798" s="18"/>
      <c r="C798" s="18"/>
      <c r="D798" s="19"/>
      <c r="F798" s="20"/>
      <c r="J798" s="20"/>
    </row>
    <row r="799">
      <c r="A799" s="18"/>
      <c r="B799" s="18"/>
      <c r="C799" s="18"/>
      <c r="D799" s="19"/>
      <c r="F799" s="20"/>
      <c r="J799" s="20"/>
    </row>
    <row r="800">
      <c r="A800" s="18"/>
      <c r="B800" s="18"/>
      <c r="C800" s="18"/>
      <c r="D800" s="19"/>
      <c r="F800" s="20"/>
      <c r="J800" s="20"/>
    </row>
    <row r="801">
      <c r="A801" s="18"/>
      <c r="B801" s="18"/>
      <c r="C801" s="18"/>
      <c r="D801" s="19"/>
      <c r="F801" s="20"/>
      <c r="J801" s="20"/>
    </row>
    <row r="802">
      <c r="A802" s="18"/>
      <c r="B802" s="18"/>
      <c r="C802" s="18"/>
      <c r="D802" s="19"/>
      <c r="F802" s="20"/>
      <c r="J802" s="20"/>
    </row>
    <row r="803">
      <c r="A803" s="18"/>
      <c r="B803" s="18"/>
      <c r="C803" s="18"/>
      <c r="D803" s="19"/>
      <c r="F803" s="20"/>
      <c r="J803" s="20"/>
    </row>
    <row r="804">
      <c r="A804" s="18"/>
      <c r="B804" s="18"/>
      <c r="C804" s="18"/>
      <c r="D804" s="19"/>
      <c r="F804" s="20"/>
      <c r="J804" s="20"/>
    </row>
    <row r="805">
      <c r="A805" s="18"/>
      <c r="B805" s="18"/>
      <c r="C805" s="18"/>
      <c r="D805" s="19"/>
      <c r="F805" s="20"/>
      <c r="J805" s="20"/>
    </row>
    <row r="806">
      <c r="A806" s="18"/>
      <c r="B806" s="18"/>
      <c r="C806" s="18"/>
      <c r="D806" s="19"/>
      <c r="F806" s="20"/>
      <c r="J806" s="20"/>
    </row>
    <row r="807">
      <c r="A807" s="18"/>
      <c r="B807" s="18"/>
      <c r="C807" s="18"/>
      <c r="D807" s="19"/>
      <c r="F807" s="20"/>
      <c r="J807" s="20"/>
    </row>
    <row r="808">
      <c r="A808" s="18"/>
      <c r="B808" s="18"/>
      <c r="C808" s="18"/>
      <c r="D808" s="19"/>
      <c r="F808" s="20"/>
      <c r="J808" s="20"/>
    </row>
    <row r="809">
      <c r="A809" s="18"/>
      <c r="B809" s="18"/>
      <c r="C809" s="18"/>
      <c r="D809" s="19"/>
      <c r="F809" s="20"/>
      <c r="J809" s="20"/>
    </row>
    <row r="810">
      <c r="A810" s="18"/>
      <c r="B810" s="18"/>
      <c r="C810" s="18"/>
      <c r="D810" s="19"/>
      <c r="F810" s="20"/>
      <c r="J810" s="20"/>
    </row>
    <row r="811">
      <c r="A811" s="18"/>
      <c r="B811" s="18"/>
      <c r="C811" s="18"/>
      <c r="D811" s="19"/>
      <c r="F811" s="20"/>
      <c r="J811" s="20"/>
    </row>
    <row r="812">
      <c r="A812" s="18"/>
      <c r="B812" s="18"/>
      <c r="C812" s="18"/>
      <c r="D812" s="19"/>
      <c r="F812" s="20"/>
      <c r="J812" s="20"/>
    </row>
    <row r="813">
      <c r="A813" s="18"/>
      <c r="B813" s="18"/>
      <c r="C813" s="18"/>
      <c r="D813" s="19"/>
      <c r="F813" s="20"/>
      <c r="J813" s="20"/>
    </row>
    <row r="814">
      <c r="A814" s="18"/>
      <c r="B814" s="18"/>
      <c r="C814" s="18"/>
      <c r="D814" s="19"/>
      <c r="F814" s="20"/>
      <c r="J814" s="20"/>
    </row>
    <row r="815">
      <c r="A815" s="18"/>
      <c r="B815" s="18"/>
      <c r="C815" s="18"/>
      <c r="D815" s="19"/>
      <c r="F815" s="20"/>
      <c r="J815" s="20"/>
    </row>
    <row r="816">
      <c r="A816" s="18"/>
      <c r="B816" s="18"/>
      <c r="C816" s="18"/>
      <c r="D816" s="19"/>
      <c r="F816" s="20"/>
      <c r="J816" s="20"/>
    </row>
    <row r="817">
      <c r="A817" s="18"/>
      <c r="B817" s="18"/>
      <c r="C817" s="18"/>
      <c r="D817" s="19"/>
      <c r="F817" s="20"/>
      <c r="J817" s="20"/>
    </row>
    <row r="818">
      <c r="A818" s="18"/>
      <c r="B818" s="18"/>
      <c r="C818" s="18"/>
      <c r="D818" s="19"/>
      <c r="F818" s="20"/>
      <c r="J818" s="20"/>
    </row>
    <row r="819">
      <c r="A819" s="18"/>
      <c r="B819" s="18"/>
      <c r="C819" s="18"/>
      <c r="D819" s="19"/>
      <c r="F819" s="20"/>
      <c r="J819" s="20"/>
    </row>
    <row r="820">
      <c r="A820" s="18"/>
      <c r="B820" s="18"/>
      <c r="C820" s="18"/>
      <c r="D820" s="19"/>
      <c r="F820" s="20"/>
      <c r="J820" s="20"/>
    </row>
    <row r="821">
      <c r="A821" s="18"/>
      <c r="B821" s="18"/>
      <c r="C821" s="18"/>
      <c r="D821" s="19"/>
      <c r="F821" s="20"/>
      <c r="J821" s="20"/>
    </row>
    <row r="822">
      <c r="A822" s="18"/>
      <c r="B822" s="18"/>
      <c r="C822" s="18"/>
      <c r="D822" s="19"/>
      <c r="F822" s="20"/>
      <c r="J822" s="20"/>
    </row>
    <row r="823">
      <c r="A823" s="18"/>
      <c r="B823" s="18"/>
      <c r="C823" s="18"/>
      <c r="D823" s="19"/>
      <c r="F823" s="20"/>
      <c r="J823" s="20"/>
    </row>
    <row r="824">
      <c r="A824" s="18"/>
      <c r="B824" s="18"/>
      <c r="C824" s="18"/>
      <c r="D824" s="19"/>
      <c r="F824" s="20"/>
      <c r="J824" s="20"/>
    </row>
    <row r="825">
      <c r="A825" s="18"/>
      <c r="B825" s="18"/>
      <c r="C825" s="18"/>
      <c r="D825" s="19"/>
      <c r="F825" s="20"/>
      <c r="J825" s="20"/>
    </row>
    <row r="826">
      <c r="A826" s="18"/>
      <c r="B826" s="18"/>
      <c r="C826" s="18"/>
      <c r="D826" s="19"/>
      <c r="F826" s="20"/>
      <c r="J826" s="20"/>
    </row>
    <row r="827">
      <c r="A827" s="18"/>
      <c r="B827" s="18"/>
      <c r="C827" s="18"/>
      <c r="D827" s="19"/>
      <c r="F827" s="20"/>
      <c r="J827" s="20"/>
    </row>
    <row r="828">
      <c r="A828" s="18"/>
      <c r="B828" s="18"/>
      <c r="C828" s="18"/>
      <c r="D828" s="19"/>
      <c r="F828" s="20"/>
      <c r="J828" s="20"/>
    </row>
    <row r="829">
      <c r="A829" s="18"/>
      <c r="B829" s="18"/>
      <c r="C829" s="18"/>
      <c r="D829" s="19"/>
      <c r="F829" s="20"/>
      <c r="J829" s="20"/>
    </row>
    <row r="830">
      <c r="A830" s="18"/>
      <c r="B830" s="18"/>
      <c r="C830" s="18"/>
      <c r="D830" s="19"/>
      <c r="F830" s="20"/>
      <c r="J830" s="20"/>
    </row>
    <row r="831">
      <c r="A831" s="18"/>
      <c r="B831" s="18"/>
      <c r="C831" s="18"/>
      <c r="D831" s="19"/>
      <c r="F831" s="20"/>
      <c r="J831" s="20"/>
    </row>
    <row r="832">
      <c r="A832" s="18"/>
      <c r="B832" s="18"/>
      <c r="C832" s="18"/>
      <c r="D832" s="19"/>
      <c r="F832" s="20"/>
      <c r="J832" s="20"/>
    </row>
    <row r="833">
      <c r="A833" s="18"/>
      <c r="B833" s="18"/>
      <c r="C833" s="18"/>
      <c r="D833" s="19"/>
      <c r="F833" s="20"/>
      <c r="J833" s="20"/>
    </row>
    <row r="834">
      <c r="A834" s="18"/>
      <c r="B834" s="18"/>
      <c r="C834" s="18"/>
      <c r="D834" s="19"/>
      <c r="F834" s="20"/>
      <c r="J834" s="20"/>
    </row>
    <row r="835">
      <c r="A835" s="18"/>
      <c r="B835" s="18"/>
      <c r="C835" s="18"/>
      <c r="D835" s="19"/>
      <c r="F835" s="20"/>
      <c r="J835" s="20"/>
    </row>
    <row r="836">
      <c r="A836" s="18"/>
      <c r="B836" s="18"/>
      <c r="C836" s="18"/>
      <c r="D836" s="19"/>
      <c r="F836" s="20"/>
      <c r="J836" s="20"/>
    </row>
    <row r="837">
      <c r="A837" s="18"/>
      <c r="B837" s="18"/>
      <c r="C837" s="18"/>
      <c r="D837" s="19"/>
      <c r="F837" s="20"/>
      <c r="J837" s="20"/>
    </row>
    <row r="838">
      <c r="A838" s="18"/>
      <c r="B838" s="18"/>
      <c r="C838" s="18"/>
      <c r="D838" s="19"/>
      <c r="F838" s="20"/>
      <c r="J838" s="20"/>
    </row>
    <row r="839">
      <c r="A839" s="18"/>
      <c r="B839" s="18"/>
      <c r="C839" s="18"/>
      <c r="D839" s="19"/>
      <c r="F839" s="20"/>
      <c r="J839" s="20"/>
    </row>
    <row r="840">
      <c r="A840" s="18"/>
      <c r="B840" s="18"/>
      <c r="C840" s="18"/>
      <c r="D840" s="19"/>
      <c r="F840" s="20"/>
      <c r="J840" s="20"/>
    </row>
    <row r="841">
      <c r="A841" s="18"/>
      <c r="B841" s="18"/>
      <c r="C841" s="18"/>
      <c r="D841" s="19"/>
      <c r="F841" s="20"/>
      <c r="J841" s="20"/>
    </row>
    <row r="842">
      <c r="A842" s="18"/>
      <c r="B842" s="18"/>
      <c r="C842" s="18"/>
      <c r="D842" s="19"/>
      <c r="F842" s="20"/>
      <c r="J842" s="20"/>
    </row>
    <row r="843">
      <c r="A843" s="18"/>
      <c r="B843" s="18"/>
      <c r="C843" s="18"/>
      <c r="D843" s="19"/>
      <c r="F843" s="20"/>
      <c r="J843" s="20"/>
    </row>
    <row r="844">
      <c r="A844" s="18"/>
      <c r="B844" s="18"/>
      <c r="C844" s="18"/>
      <c r="D844" s="19"/>
      <c r="F844" s="20"/>
      <c r="J844" s="20"/>
    </row>
    <row r="845">
      <c r="A845" s="18"/>
      <c r="B845" s="18"/>
      <c r="C845" s="18"/>
      <c r="D845" s="19"/>
      <c r="F845" s="20"/>
      <c r="J845" s="20"/>
    </row>
    <row r="846">
      <c r="A846" s="18"/>
      <c r="B846" s="18"/>
      <c r="C846" s="18"/>
      <c r="D846" s="19"/>
      <c r="F846" s="20"/>
      <c r="J846" s="20"/>
    </row>
    <row r="847">
      <c r="A847" s="18"/>
      <c r="B847" s="18"/>
      <c r="C847" s="18"/>
      <c r="D847" s="19"/>
      <c r="F847" s="20"/>
      <c r="J847" s="20"/>
    </row>
    <row r="848">
      <c r="A848" s="18"/>
      <c r="B848" s="18"/>
      <c r="C848" s="18"/>
      <c r="D848" s="19"/>
      <c r="F848" s="20"/>
      <c r="J848" s="20"/>
    </row>
    <row r="849">
      <c r="A849" s="18"/>
      <c r="B849" s="18"/>
      <c r="C849" s="18"/>
      <c r="D849" s="19"/>
      <c r="F849" s="20"/>
      <c r="J849" s="20"/>
    </row>
    <row r="850">
      <c r="A850" s="18"/>
      <c r="B850" s="18"/>
      <c r="C850" s="18"/>
      <c r="D850" s="19"/>
      <c r="F850" s="20"/>
      <c r="J850" s="20"/>
    </row>
    <row r="851">
      <c r="A851" s="18"/>
      <c r="B851" s="18"/>
      <c r="C851" s="18"/>
      <c r="D851" s="19"/>
      <c r="F851" s="20"/>
      <c r="J851" s="20"/>
    </row>
    <row r="852">
      <c r="A852" s="18"/>
      <c r="B852" s="18"/>
      <c r="C852" s="18"/>
      <c r="D852" s="19"/>
      <c r="F852" s="20"/>
      <c r="J852" s="20"/>
    </row>
    <row r="853">
      <c r="A853" s="18"/>
      <c r="B853" s="18"/>
      <c r="C853" s="18"/>
      <c r="D853" s="19"/>
      <c r="F853" s="20"/>
      <c r="J853" s="20"/>
    </row>
    <row r="854">
      <c r="A854" s="18"/>
      <c r="B854" s="18"/>
      <c r="C854" s="18"/>
      <c r="D854" s="19"/>
      <c r="F854" s="20"/>
      <c r="J854" s="20"/>
    </row>
    <row r="855">
      <c r="A855" s="18"/>
      <c r="B855" s="18"/>
      <c r="C855" s="18"/>
      <c r="D855" s="19"/>
      <c r="F855" s="20"/>
      <c r="J855" s="20"/>
    </row>
    <row r="856">
      <c r="A856" s="18"/>
      <c r="B856" s="18"/>
      <c r="C856" s="18"/>
      <c r="D856" s="19"/>
      <c r="F856" s="20"/>
      <c r="J856" s="20"/>
    </row>
    <row r="857">
      <c r="A857" s="18"/>
      <c r="B857" s="18"/>
      <c r="C857" s="18"/>
      <c r="D857" s="19"/>
      <c r="F857" s="20"/>
      <c r="J857" s="20"/>
    </row>
    <row r="858">
      <c r="A858" s="18"/>
      <c r="B858" s="18"/>
      <c r="C858" s="18"/>
      <c r="D858" s="19"/>
      <c r="F858" s="20"/>
      <c r="J858" s="20"/>
    </row>
    <row r="859">
      <c r="A859" s="18"/>
      <c r="B859" s="18"/>
      <c r="C859" s="18"/>
      <c r="D859" s="19"/>
      <c r="F859" s="20"/>
      <c r="J859" s="20"/>
    </row>
    <row r="860">
      <c r="A860" s="18"/>
      <c r="B860" s="18"/>
      <c r="C860" s="18"/>
      <c r="D860" s="19"/>
      <c r="F860" s="20"/>
      <c r="J860" s="20"/>
    </row>
    <row r="861">
      <c r="A861" s="18"/>
      <c r="B861" s="18"/>
      <c r="C861" s="18"/>
      <c r="D861" s="19"/>
      <c r="F861" s="20"/>
      <c r="J861" s="20"/>
    </row>
    <row r="862">
      <c r="A862" s="18"/>
      <c r="B862" s="18"/>
      <c r="C862" s="18"/>
      <c r="D862" s="19"/>
      <c r="F862" s="20"/>
      <c r="J862" s="20"/>
    </row>
    <row r="863">
      <c r="A863" s="18"/>
      <c r="B863" s="18"/>
      <c r="C863" s="18"/>
      <c r="D863" s="19"/>
      <c r="F863" s="20"/>
      <c r="J863" s="20"/>
    </row>
    <row r="864">
      <c r="A864" s="18"/>
      <c r="B864" s="18"/>
      <c r="C864" s="18"/>
      <c r="D864" s="19"/>
      <c r="F864" s="20"/>
      <c r="J864" s="20"/>
    </row>
    <row r="865">
      <c r="A865" s="18"/>
      <c r="B865" s="18"/>
      <c r="C865" s="18"/>
      <c r="D865" s="19"/>
      <c r="F865" s="20"/>
      <c r="J865" s="20"/>
    </row>
    <row r="866">
      <c r="A866" s="18"/>
      <c r="B866" s="18"/>
      <c r="C866" s="18"/>
      <c r="D866" s="19"/>
      <c r="F866" s="20"/>
      <c r="J866" s="20"/>
    </row>
    <row r="867">
      <c r="A867" s="18"/>
      <c r="B867" s="18"/>
      <c r="C867" s="18"/>
      <c r="D867" s="19"/>
      <c r="F867" s="20"/>
      <c r="J867" s="20"/>
    </row>
    <row r="868">
      <c r="A868" s="18"/>
      <c r="B868" s="18"/>
      <c r="C868" s="18"/>
      <c r="D868" s="19"/>
      <c r="F868" s="20"/>
      <c r="J868" s="20"/>
    </row>
    <row r="869">
      <c r="A869" s="18"/>
      <c r="B869" s="18"/>
      <c r="C869" s="18"/>
      <c r="D869" s="19"/>
      <c r="F869" s="20"/>
      <c r="J869" s="20"/>
    </row>
    <row r="870">
      <c r="A870" s="18"/>
      <c r="B870" s="18"/>
      <c r="C870" s="18"/>
      <c r="D870" s="19"/>
      <c r="F870" s="20"/>
      <c r="J870" s="20"/>
    </row>
    <row r="871">
      <c r="A871" s="18"/>
      <c r="B871" s="18"/>
      <c r="C871" s="18"/>
      <c r="D871" s="19"/>
      <c r="F871" s="20"/>
      <c r="J871" s="20"/>
    </row>
    <row r="872">
      <c r="A872" s="18"/>
      <c r="B872" s="18"/>
      <c r="C872" s="18"/>
      <c r="D872" s="19"/>
      <c r="F872" s="20"/>
      <c r="J872" s="20"/>
    </row>
    <row r="873">
      <c r="A873" s="18"/>
      <c r="B873" s="18"/>
      <c r="C873" s="18"/>
      <c r="D873" s="19"/>
      <c r="F873" s="20"/>
      <c r="J873" s="20"/>
    </row>
    <row r="874">
      <c r="A874" s="18"/>
      <c r="B874" s="18"/>
      <c r="C874" s="18"/>
      <c r="D874" s="19"/>
      <c r="F874" s="20"/>
      <c r="J874" s="20"/>
    </row>
    <row r="875">
      <c r="A875" s="18"/>
      <c r="B875" s="18"/>
      <c r="C875" s="18"/>
      <c r="D875" s="19"/>
      <c r="F875" s="20"/>
      <c r="J875" s="20"/>
    </row>
    <row r="876">
      <c r="A876" s="18"/>
      <c r="B876" s="18"/>
      <c r="C876" s="18"/>
      <c r="D876" s="19"/>
      <c r="F876" s="20"/>
      <c r="J876" s="20"/>
    </row>
    <row r="877">
      <c r="A877" s="18"/>
      <c r="B877" s="18"/>
      <c r="C877" s="18"/>
      <c r="D877" s="19"/>
      <c r="F877" s="20"/>
      <c r="J877" s="20"/>
    </row>
    <row r="878">
      <c r="A878" s="18"/>
      <c r="B878" s="18"/>
      <c r="C878" s="18"/>
      <c r="D878" s="19"/>
      <c r="F878" s="20"/>
      <c r="J878" s="20"/>
    </row>
    <row r="879">
      <c r="A879" s="18"/>
      <c r="B879" s="18"/>
      <c r="C879" s="18"/>
      <c r="D879" s="19"/>
      <c r="F879" s="20"/>
      <c r="J879" s="20"/>
    </row>
    <row r="880">
      <c r="A880" s="18"/>
      <c r="B880" s="18"/>
      <c r="C880" s="18"/>
      <c r="D880" s="19"/>
      <c r="F880" s="20"/>
      <c r="J880" s="20"/>
    </row>
    <row r="881">
      <c r="A881" s="18"/>
      <c r="B881" s="18"/>
      <c r="C881" s="18"/>
      <c r="D881" s="19"/>
      <c r="F881" s="20"/>
      <c r="J881" s="20"/>
    </row>
    <row r="882">
      <c r="A882" s="18"/>
      <c r="B882" s="18"/>
      <c r="C882" s="18"/>
      <c r="D882" s="19"/>
      <c r="F882" s="20"/>
      <c r="J882" s="20"/>
    </row>
    <row r="883">
      <c r="A883" s="18"/>
      <c r="B883" s="18"/>
      <c r="C883" s="18"/>
      <c r="D883" s="19"/>
      <c r="F883" s="20"/>
      <c r="J883" s="20"/>
    </row>
    <row r="884">
      <c r="A884" s="18"/>
      <c r="B884" s="18"/>
      <c r="C884" s="18"/>
      <c r="D884" s="19"/>
      <c r="F884" s="20"/>
      <c r="J884" s="20"/>
    </row>
    <row r="885">
      <c r="A885" s="18"/>
      <c r="B885" s="18"/>
      <c r="C885" s="18"/>
      <c r="D885" s="19"/>
      <c r="F885" s="20"/>
      <c r="J885" s="20"/>
    </row>
    <row r="886">
      <c r="A886" s="18"/>
      <c r="B886" s="18"/>
      <c r="C886" s="18"/>
      <c r="D886" s="19"/>
      <c r="F886" s="20"/>
      <c r="J886" s="20"/>
    </row>
    <row r="887">
      <c r="A887" s="18"/>
      <c r="B887" s="18"/>
      <c r="C887" s="18"/>
      <c r="D887" s="19"/>
      <c r="F887" s="20"/>
      <c r="J887" s="20"/>
    </row>
    <row r="888">
      <c r="A888" s="18"/>
      <c r="B888" s="18"/>
      <c r="C888" s="18"/>
      <c r="D888" s="19"/>
      <c r="F888" s="20"/>
      <c r="J888" s="20"/>
    </row>
    <row r="889">
      <c r="A889" s="18"/>
      <c r="B889" s="18"/>
      <c r="C889" s="18"/>
      <c r="D889" s="19"/>
      <c r="F889" s="20"/>
      <c r="J889" s="20"/>
    </row>
    <row r="890">
      <c r="A890" s="18"/>
      <c r="B890" s="18"/>
      <c r="C890" s="18"/>
      <c r="D890" s="19"/>
      <c r="F890" s="20"/>
      <c r="J890" s="20"/>
    </row>
    <row r="891">
      <c r="A891" s="18"/>
      <c r="B891" s="18"/>
      <c r="C891" s="18"/>
      <c r="D891" s="19"/>
      <c r="F891" s="20"/>
      <c r="J891" s="20"/>
    </row>
    <row r="892">
      <c r="A892" s="18"/>
      <c r="B892" s="18"/>
      <c r="C892" s="18"/>
      <c r="D892" s="19"/>
      <c r="F892" s="20"/>
      <c r="J892" s="20"/>
    </row>
    <row r="893">
      <c r="A893" s="18"/>
      <c r="B893" s="18"/>
      <c r="C893" s="18"/>
      <c r="D893" s="19"/>
      <c r="F893" s="20"/>
      <c r="J893" s="20"/>
    </row>
    <row r="894">
      <c r="A894" s="18"/>
      <c r="B894" s="18"/>
      <c r="C894" s="18"/>
      <c r="D894" s="19"/>
      <c r="F894" s="20"/>
      <c r="J894" s="20"/>
    </row>
    <row r="895">
      <c r="A895" s="18"/>
      <c r="B895" s="18"/>
      <c r="C895" s="18"/>
      <c r="D895" s="19"/>
      <c r="F895" s="20"/>
      <c r="J895" s="20"/>
    </row>
    <row r="896">
      <c r="A896" s="18"/>
      <c r="B896" s="18"/>
      <c r="C896" s="18"/>
      <c r="D896" s="19"/>
      <c r="F896" s="20"/>
      <c r="J896" s="20"/>
    </row>
    <row r="897">
      <c r="A897" s="18"/>
      <c r="B897" s="18"/>
      <c r="C897" s="18"/>
      <c r="D897" s="19"/>
      <c r="F897" s="20"/>
      <c r="J897" s="20"/>
    </row>
    <row r="898">
      <c r="A898" s="18"/>
      <c r="B898" s="18"/>
      <c r="C898" s="18"/>
      <c r="D898" s="19"/>
      <c r="F898" s="20"/>
      <c r="J898" s="20"/>
    </row>
    <row r="899">
      <c r="A899" s="18"/>
      <c r="B899" s="18"/>
      <c r="C899" s="18"/>
      <c r="D899" s="19"/>
      <c r="F899" s="20"/>
      <c r="J899" s="20"/>
    </row>
    <row r="900">
      <c r="A900" s="18"/>
      <c r="B900" s="18"/>
      <c r="C900" s="18"/>
      <c r="D900" s="19"/>
      <c r="F900" s="20"/>
      <c r="J900" s="20"/>
    </row>
    <row r="901">
      <c r="A901" s="18"/>
      <c r="B901" s="18"/>
      <c r="C901" s="18"/>
      <c r="D901" s="19"/>
      <c r="F901" s="20"/>
      <c r="J901" s="20"/>
    </row>
    <row r="902">
      <c r="A902" s="18"/>
      <c r="B902" s="18"/>
      <c r="C902" s="18"/>
      <c r="D902" s="19"/>
      <c r="F902" s="20"/>
      <c r="J902" s="20"/>
    </row>
    <row r="903">
      <c r="A903" s="18"/>
      <c r="B903" s="18"/>
      <c r="C903" s="18"/>
      <c r="D903" s="19"/>
      <c r="F903" s="20"/>
      <c r="J903" s="20"/>
    </row>
    <row r="904">
      <c r="A904" s="18"/>
      <c r="B904" s="18"/>
      <c r="C904" s="18"/>
      <c r="D904" s="19"/>
      <c r="F904" s="20"/>
      <c r="J904" s="20"/>
    </row>
    <row r="905">
      <c r="A905" s="18"/>
      <c r="B905" s="18"/>
      <c r="C905" s="18"/>
      <c r="D905" s="19"/>
      <c r="F905" s="20"/>
      <c r="J905" s="20"/>
    </row>
    <row r="906">
      <c r="A906" s="18"/>
      <c r="B906" s="18"/>
      <c r="C906" s="18"/>
      <c r="D906" s="19"/>
      <c r="F906" s="20"/>
      <c r="J906" s="20"/>
    </row>
    <row r="907">
      <c r="A907" s="18"/>
      <c r="B907" s="18"/>
      <c r="C907" s="18"/>
      <c r="D907" s="19"/>
      <c r="F907" s="20"/>
      <c r="J907" s="20"/>
    </row>
    <row r="908">
      <c r="A908" s="18"/>
      <c r="B908" s="18"/>
      <c r="C908" s="18"/>
      <c r="D908" s="19"/>
      <c r="F908" s="20"/>
      <c r="J908" s="20"/>
    </row>
    <row r="909">
      <c r="A909" s="18"/>
      <c r="B909" s="18"/>
      <c r="C909" s="18"/>
      <c r="D909" s="19"/>
      <c r="F909" s="20"/>
      <c r="J909" s="20"/>
    </row>
    <row r="910">
      <c r="A910" s="18"/>
      <c r="B910" s="18"/>
      <c r="C910" s="18"/>
      <c r="D910" s="19"/>
      <c r="F910" s="20"/>
      <c r="J910" s="20"/>
    </row>
    <row r="911">
      <c r="A911" s="18"/>
      <c r="B911" s="18"/>
      <c r="C911" s="18"/>
      <c r="D911" s="19"/>
      <c r="F911" s="20"/>
      <c r="J911" s="20"/>
    </row>
    <row r="912">
      <c r="A912" s="18"/>
      <c r="B912" s="18"/>
      <c r="C912" s="18"/>
      <c r="D912" s="19"/>
      <c r="F912" s="20"/>
      <c r="J912" s="20"/>
    </row>
    <row r="913">
      <c r="A913" s="18"/>
      <c r="B913" s="18"/>
      <c r="C913" s="18"/>
      <c r="D913" s="19"/>
      <c r="F913" s="20"/>
      <c r="J913" s="20"/>
    </row>
    <row r="914">
      <c r="A914" s="18"/>
      <c r="B914" s="18"/>
      <c r="C914" s="18"/>
      <c r="D914" s="19"/>
      <c r="F914" s="20"/>
      <c r="J914" s="20"/>
    </row>
    <row r="915">
      <c r="A915" s="18"/>
      <c r="B915" s="18"/>
      <c r="C915" s="18"/>
      <c r="D915" s="19"/>
      <c r="F915" s="20"/>
      <c r="J915" s="20"/>
    </row>
    <row r="916">
      <c r="A916" s="18"/>
      <c r="B916" s="18"/>
      <c r="C916" s="18"/>
      <c r="D916" s="19"/>
      <c r="F916" s="20"/>
      <c r="J916" s="20"/>
    </row>
    <row r="917">
      <c r="A917" s="18"/>
      <c r="B917" s="18"/>
      <c r="C917" s="18"/>
      <c r="D917" s="19"/>
      <c r="F917" s="20"/>
      <c r="J917" s="20"/>
    </row>
    <row r="918">
      <c r="A918" s="18"/>
      <c r="B918" s="18"/>
      <c r="C918" s="18"/>
      <c r="D918" s="19"/>
      <c r="F918" s="20"/>
      <c r="J918" s="20"/>
    </row>
    <row r="919">
      <c r="A919" s="18"/>
      <c r="B919" s="18"/>
      <c r="C919" s="18"/>
      <c r="D919" s="19"/>
      <c r="F919" s="20"/>
      <c r="J919" s="20"/>
    </row>
    <row r="920">
      <c r="A920" s="18"/>
      <c r="B920" s="18"/>
      <c r="C920" s="18"/>
      <c r="D920" s="19"/>
      <c r="F920" s="20"/>
      <c r="J920" s="20"/>
    </row>
    <row r="921">
      <c r="A921" s="18"/>
      <c r="B921" s="18"/>
      <c r="C921" s="18"/>
      <c r="D921" s="19"/>
      <c r="F921" s="20"/>
      <c r="J921" s="20"/>
    </row>
    <row r="922">
      <c r="A922" s="18"/>
      <c r="B922" s="18"/>
      <c r="C922" s="18"/>
      <c r="D922" s="19"/>
      <c r="F922" s="20"/>
      <c r="J922" s="20"/>
    </row>
    <row r="923">
      <c r="A923" s="18"/>
      <c r="B923" s="18"/>
      <c r="C923" s="18"/>
      <c r="D923" s="19"/>
      <c r="F923" s="20"/>
      <c r="J923" s="20"/>
    </row>
    <row r="924">
      <c r="A924" s="18"/>
      <c r="B924" s="18"/>
      <c r="C924" s="18"/>
      <c r="D924" s="19"/>
      <c r="F924" s="20"/>
      <c r="J924" s="20"/>
    </row>
    <row r="925">
      <c r="A925" s="18"/>
      <c r="B925" s="18"/>
      <c r="C925" s="18"/>
      <c r="D925" s="19"/>
      <c r="F925" s="20"/>
      <c r="J925" s="20"/>
    </row>
    <row r="926">
      <c r="A926" s="18"/>
      <c r="B926" s="18"/>
      <c r="C926" s="18"/>
      <c r="D926" s="19"/>
      <c r="F926" s="20"/>
      <c r="J926" s="20"/>
    </row>
    <row r="927">
      <c r="A927" s="18"/>
      <c r="B927" s="18"/>
      <c r="C927" s="18"/>
      <c r="D927" s="19"/>
      <c r="F927" s="20"/>
      <c r="J927" s="20"/>
    </row>
    <row r="928">
      <c r="A928" s="18"/>
      <c r="B928" s="18"/>
      <c r="C928" s="18"/>
      <c r="D928" s="19"/>
      <c r="F928" s="20"/>
      <c r="J928" s="20"/>
    </row>
    <row r="929">
      <c r="A929" s="18"/>
      <c r="B929" s="18"/>
      <c r="C929" s="18"/>
      <c r="D929" s="19"/>
      <c r="F929" s="20"/>
      <c r="J929" s="20"/>
    </row>
    <row r="930">
      <c r="A930" s="18"/>
      <c r="B930" s="18"/>
      <c r="C930" s="18"/>
      <c r="D930" s="19"/>
      <c r="F930" s="20"/>
      <c r="J930" s="20"/>
    </row>
    <row r="931">
      <c r="A931" s="18"/>
      <c r="B931" s="18"/>
      <c r="C931" s="18"/>
      <c r="D931" s="19"/>
      <c r="F931" s="20"/>
      <c r="J931" s="20"/>
    </row>
    <row r="932">
      <c r="A932" s="18"/>
      <c r="B932" s="18"/>
      <c r="C932" s="18"/>
      <c r="D932" s="19"/>
      <c r="F932" s="20"/>
      <c r="J932" s="20"/>
    </row>
    <row r="933">
      <c r="A933" s="18"/>
      <c r="B933" s="18"/>
      <c r="C933" s="18"/>
      <c r="D933" s="19"/>
      <c r="F933" s="20"/>
      <c r="J933" s="20"/>
    </row>
    <row r="934">
      <c r="A934" s="18"/>
      <c r="B934" s="18"/>
      <c r="C934" s="18"/>
      <c r="D934" s="19"/>
      <c r="F934" s="20"/>
      <c r="J934" s="20"/>
    </row>
    <row r="935">
      <c r="A935" s="18"/>
      <c r="B935" s="18"/>
      <c r="C935" s="18"/>
      <c r="D935" s="19"/>
      <c r="F935" s="20"/>
      <c r="J935" s="20"/>
    </row>
    <row r="936">
      <c r="A936" s="18"/>
      <c r="B936" s="18"/>
      <c r="C936" s="18"/>
      <c r="D936" s="19"/>
      <c r="F936" s="20"/>
      <c r="J936" s="20"/>
    </row>
    <row r="937">
      <c r="A937" s="18"/>
      <c r="B937" s="18"/>
      <c r="C937" s="18"/>
      <c r="D937" s="19"/>
      <c r="F937" s="20"/>
      <c r="J937" s="20"/>
    </row>
    <row r="938">
      <c r="A938" s="18"/>
      <c r="B938" s="18"/>
      <c r="C938" s="18"/>
      <c r="D938" s="19"/>
      <c r="F938" s="20"/>
      <c r="J938" s="20"/>
    </row>
    <row r="939">
      <c r="A939" s="18"/>
      <c r="B939" s="18"/>
      <c r="C939" s="18"/>
      <c r="D939" s="19"/>
      <c r="F939" s="20"/>
      <c r="J939" s="20"/>
    </row>
    <row r="940">
      <c r="A940" s="18"/>
      <c r="B940" s="18"/>
      <c r="C940" s="18"/>
      <c r="D940" s="19"/>
      <c r="F940" s="20"/>
      <c r="J940" s="20"/>
    </row>
    <row r="941">
      <c r="A941" s="18"/>
      <c r="B941" s="18"/>
      <c r="C941" s="18"/>
      <c r="D941" s="19"/>
      <c r="F941" s="20"/>
      <c r="J941" s="20"/>
    </row>
    <row r="942">
      <c r="A942" s="18"/>
      <c r="B942" s="18"/>
      <c r="C942" s="18"/>
      <c r="D942" s="19"/>
      <c r="F942" s="20"/>
      <c r="J942" s="20"/>
    </row>
    <row r="943">
      <c r="A943" s="18"/>
      <c r="B943" s="18"/>
      <c r="C943" s="18"/>
      <c r="D943" s="19"/>
      <c r="F943" s="20"/>
      <c r="J943" s="20"/>
    </row>
    <row r="944">
      <c r="A944" s="18"/>
      <c r="B944" s="18"/>
      <c r="C944" s="18"/>
      <c r="D944" s="19"/>
      <c r="F944" s="20"/>
      <c r="J944" s="20"/>
    </row>
    <row r="945">
      <c r="A945" s="18"/>
      <c r="B945" s="18"/>
      <c r="C945" s="18"/>
      <c r="D945" s="19"/>
      <c r="F945" s="20"/>
      <c r="J945" s="20"/>
    </row>
    <row r="946">
      <c r="A946" s="18"/>
      <c r="B946" s="18"/>
      <c r="C946" s="18"/>
      <c r="D946" s="19"/>
      <c r="F946" s="20"/>
      <c r="J946" s="20"/>
    </row>
    <row r="947">
      <c r="A947" s="18"/>
      <c r="B947" s="18"/>
      <c r="C947" s="18"/>
      <c r="D947" s="19"/>
      <c r="F947" s="20"/>
      <c r="J947" s="20"/>
    </row>
    <row r="948">
      <c r="A948" s="18"/>
      <c r="B948" s="18"/>
      <c r="C948" s="18"/>
      <c r="D948" s="19"/>
      <c r="F948" s="20"/>
      <c r="J948" s="20"/>
    </row>
    <row r="949">
      <c r="A949" s="18"/>
      <c r="B949" s="18"/>
      <c r="C949" s="18"/>
      <c r="D949" s="19"/>
      <c r="F949" s="20"/>
      <c r="J949" s="20"/>
    </row>
    <row r="950">
      <c r="A950" s="18"/>
      <c r="B950" s="18"/>
      <c r="C950" s="18"/>
      <c r="D950" s="19"/>
      <c r="F950" s="20"/>
      <c r="J950" s="20"/>
    </row>
    <row r="951">
      <c r="A951" s="18"/>
      <c r="B951" s="18"/>
      <c r="C951" s="18"/>
      <c r="D951" s="19"/>
      <c r="F951" s="20"/>
      <c r="J951" s="20"/>
    </row>
    <row r="952">
      <c r="A952" s="18"/>
      <c r="B952" s="18"/>
      <c r="C952" s="18"/>
      <c r="D952" s="19"/>
      <c r="F952" s="20"/>
      <c r="J952" s="20"/>
    </row>
    <row r="953">
      <c r="A953" s="18"/>
      <c r="B953" s="18"/>
      <c r="C953" s="18"/>
      <c r="D953" s="19"/>
      <c r="F953" s="20"/>
      <c r="J953" s="20"/>
    </row>
    <row r="954">
      <c r="A954" s="18"/>
      <c r="B954" s="18"/>
      <c r="C954" s="18"/>
      <c r="D954" s="19"/>
      <c r="F954" s="20"/>
      <c r="J954" s="20"/>
    </row>
    <row r="955">
      <c r="A955" s="18"/>
      <c r="B955" s="18"/>
      <c r="C955" s="18"/>
      <c r="D955" s="19"/>
      <c r="F955" s="20"/>
      <c r="J955" s="20"/>
    </row>
    <row r="956">
      <c r="A956" s="18"/>
      <c r="B956" s="18"/>
      <c r="C956" s="18"/>
      <c r="D956" s="19"/>
      <c r="F956" s="20"/>
      <c r="J956" s="20"/>
    </row>
    <row r="957">
      <c r="A957" s="18"/>
      <c r="B957" s="18"/>
      <c r="C957" s="18"/>
      <c r="D957" s="19"/>
      <c r="F957" s="20"/>
      <c r="J957" s="20"/>
    </row>
    <row r="958">
      <c r="A958" s="18"/>
      <c r="B958" s="18"/>
      <c r="C958" s="18"/>
      <c r="D958" s="19"/>
      <c r="F958" s="20"/>
      <c r="J958" s="20"/>
    </row>
    <row r="959">
      <c r="A959" s="18"/>
      <c r="B959" s="18"/>
      <c r="C959" s="18"/>
      <c r="D959" s="19"/>
      <c r="F959" s="20"/>
      <c r="J959" s="20"/>
    </row>
    <row r="960">
      <c r="A960" s="18"/>
      <c r="B960" s="18"/>
      <c r="C960" s="18"/>
      <c r="D960" s="19"/>
      <c r="F960" s="20"/>
      <c r="J960" s="20"/>
    </row>
    <row r="961">
      <c r="A961" s="18"/>
      <c r="B961" s="18"/>
      <c r="C961" s="18"/>
      <c r="D961" s="19"/>
      <c r="F961" s="20"/>
      <c r="J961" s="20"/>
    </row>
    <row r="962">
      <c r="A962" s="18"/>
      <c r="B962" s="18"/>
      <c r="C962" s="18"/>
      <c r="D962" s="19"/>
      <c r="F962" s="20"/>
      <c r="J962" s="20"/>
    </row>
    <row r="963">
      <c r="A963" s="18"/>
      <c r="B963" s="18"/>
      <c r="C963" s="18"/>
      <c r="D963" s="19"/>
      <c r="F963" s="20"/>
      <c r="J963" s="20"/>
    </row>
    <row r="964">
      <c r="A964" s="18"/>
      <c r="B964" s="18"/>
      <c r="C964" s="18"/>
      <c r="D964" s="19"/>
      <c r="F964" s="20"/>
      <c r="J964" s="20"/>
    </row>
    <row r="965">
      <c r="A965" s="18"/>
      <c r="B965" s="18"/>
      <c r="C965" s="18"/>
      <c r="D965" s="19"/>
      <c r="F965" s="20"/>
      <c r="J965" s="20"/>
    </row>
    <row r="966">
      <c r="A966" s="18"/>
      <c r="B966" s="18"/>
      <c r="C966" s="18"/>
      <c r="D966" s="19"/>
      <c r="F966" s="20"/>
      <c r="J966" s="20"/>
    </row>
    <row r="967">
      <c r="A967" s="18"/>
      <c r="B967" s="18"/>
      <c r="C967" s="18"/>
      <c r="D967" s="19"/>
      <c r="F967" s="20"/>
      <c r="J967" s="20"/>
    </row>
    <row r="968">
      <c r="A968" s="18"/>
      <c r="B968" s="18"/>
      <c r="C968" s="18"/>
      <c r="D968" s="19"/>
      <c r="F968" s="20"/>
      <c r="J968" s="20"/>
    </row>
    <row r="969">
      <c r="A969" s="18"/>
      <c r="B969" s="18"/>
      <c r="C969" s="18"/>
      <c r="D969" s="19"/>
      <c r="F969" s="20"/>
      <c r="J969" s="20"/>
    </row>
    <row r="970">
      <c r="A970" s="18"/>
      <c r="B970" s="18"/>
      <c r="C970" s="18"/>
      <c r="D970" s="19"/>
      <c r="F970" s="20"/>
      <c r="J970" s="20"/>
    </row>
    <row r="971">
      <c r="A971" s="18"/>
      <c r="B971" s="18"/>
      <c r="C971" s="18"/>
      <c r="D971" s="19"/>
      <c r="F971" s="20"/>
      <c r="J971" s="20"/>
    </row>
    <row r="972">
      <c r="A972" s="18"/>
      <c r="B972" s="18"/>
      <c r="C972" s="18"/>
      <c r="D972" s="19"/>
      <c r="F972" s="20"/>
      <c r="J972" s="20"/>
    </row>
    <row r="973">
      <c r="A973" s="18"/>
      <c r="B973" s="18"/>
      <c r="C973" s="18"/>
      <c r="D973" s="19"/>
      <c r="F973" s="20"/>
      <c r="J973" s="20"/>
    </row>
    <row r="974">
      <c r="A974" s="18"/>
      <c r="B974" s="18"/>
      <c r="C974" s="18"/>
      <c r="D974" s="19"/>
      <c r="F974" s="20"/>
      <c r="J974" s="20"/>
    </row>
    <row r="975">
      <c r="A975" s="18"/>
      <c r="B975" s="18"/>
      <c r="C975" s="18"/>
      <c r="D975" s="19"/>
      <c r="F975" s="20"/>
      <c r="J975" s="20"/>
    </row>
    <row r="976">
      <c r="A976" s="18"/>
      <c r="B976" s="18"/>
      <c r="C976" s="18"/>
      <c r="D976" s="19"/>
      <c r="F976" s="20"/>
      <c r="J976" s="20"/>
    </row>
    <row r="977">
      <c r="A977" s="18"/>
      <c r="B977" s="18"/>
      <c r="C977" s="18"/>
      <c r="D977" s="19"/>
      <c r="F977" s="20"/>
      <c r="J977" s="20"/>
    </row>
    <row r="978">
      <c r="A978" s="18"/>
      <c r="B978" s="18"/>
      <c r="C978" s="18"/>
      <c r="D978" s="19"/>
      <c r="F978" s="20"/>
      <c r="J978" s="20"/>
    </row>
    <row r="979">
      <c r="A979" s="18"/>
      <c r="B979" s="18"/>
      <c r="C979" s="18"/>
      <c r="D979" s="19"/>
      <c r="F979" s="20"/>
      <c r="J979" s="20"/>
    </row>
    <row r="980">
      <c r="A980" s="18"/>
      <c r="B980" s="18"/>
      <c r="C980" s="18"/>
      <c r="D980" s="19"/>
      <c r="F980" s="20"/>
      <c r="J980" s="20"/>
    </row>
    <row r="981">
      <c r="A981" s="18"/>
      <c r="B981" s="18"/>
      <c r="C981" s="18"/>
      <c r="D981" s="19"/>
      <c r="F981" s="20"/>
      <c r="J981" s="20"/>
    </row>
    <row r="982">
      <c r="A982" s="18"/>
      <c r="B982" s="18"/>
      <c r="C982" s="18"/>
      <c r="D982" s="19"/>
      <c r="F982" s="20"/>
      <c r="J982" s="20"/>
    </row>
    <row r="983">
      <c r="A983" s="18"/>
      <c r="B983" s="18"/>
      <c r="C983" s="18"/>
      <c r="D983" s="19"/>
      <c r="F983" s="20"/>
      <c r="J983" s="20"/>
    </row>
    <row r="984">
      <c r="A984" s="18"/>
      <c r="B984" s="18"/>
      <c r="C984" s="18"/>
      <c r="D984" s="19"/>
      <c r="F984" s="20"/>
      <c r="J984" s="20"/>
    </row>
    <row r="985">
      <c r="A985" s="18"/>
      <c r="B985" s="18"/>
      <c r="C985" s="18"/>
      <c r="D985" s="19"/>
      <c r="F985" s="20"/>
      <c r="J985" s="20"/>
    </row>
    <row r="986">
      <c r="A986" s="18"/>
      <c r="B986" s="18"/>
      <c r="C986" s="18"/>
      <c r="D986" s="19"/>
      <c r="F986" s="20"/>
      <c r="J986" s="20"/>
    </row>
    <row r="987">
      <c r="A987" s="18"/>
      <c r="B987" s="18"/>
      <c r="C987" s="18"/>
      <c r="D987" s="19"/>
      <c r="F987" s="20"/>
      <c r="J987" s="20"/>
    </row>
    <row r="988">
      <c r="A988" s="18"/>
      <c r="B988" s="18"/>
      <c r="C988" s="18"/>
      <c r="D988" s="19"/>
      <c r="F988" s="20"/>
      <c r="J988" s="20"/>
    </row>
    <row r="989">
      <c r="A989" s="18"/>
      <c r="B989" s="18"/>
      <c r="C989" s="18"/>
      <c r="D989" s="19"/>
      <c r="F989" s="20"/>
      <c r="J989" s="20"/>
    </row>
    <row r="990">
      <c r="A990" s="18"/>
      <c r="B990" s="18"/>
      <c r="C990" s="18"/>
      <c r="D990" s="19"/>
      <c r="F990" s="20"/>
      <c r="J990" s="20"/>
    </row>
    <row r="991">
      <c r="A991" s="18"/>
      <c r="B991" s="18"/>
      <c r="C991" s="18"/>
      <c r="D991" s="19"/>
      <c r="F991" s="20"/>
      <c r="J991" s="20"/>
    </row>
    <row r="992">
      <c r="A992" s="18"/>
      <c r="B992" s="18"/>
      <c r="C992" s="18"/>
      <c r="D992" s="19"/>
      <c r="F992" s="20"/>
      <c r="J992" s="20"/>
    </row>
    <row r="993">
      <c r="A993" s="18"/>
      <c r="B993" s="18"/>
      <c r="C993" s="18"/>
      <c r="D993" s="19"/>
      <c r="F993" s="20"/>
      <c r="J993" s="20"/>
    </row>
    <row r="994">
      <c r="A994" s="18"/>
      <c r="B994" s="18"/>
      <c r="C994" s="18"/>
      <c r="D994" s="19"/>
      <c r="F994" s="20"/>
      <c r="J994" s="20"/>
    </row>
    <row r="995">
      <c r="A995" s="18"/>
      <c r="B995" s="18"/>
      <c r="C995" s="18"/>
      <c r="D995" s="19"/>
      <c r="F995" s="20"/>
      <c r="J995" s="20"/>
    </row>
    <row r="996">
      <c r="A996" s="18"/>
      <c r="B996" s="18"/>
      <c r="C996" s="18"/>
      <c r="D996" s="19"/>
      <c r="F996" s="20"/>
      <c r="J996" s="20"/>
    </row>
    <row r="997">
      <c r="A997" s="18"/>
      <c r="B997" s="18"/>
      <c r="C997" s="18"/>
      <c r="D997" s="19"/>
      <c r="F997" s="20"/>
      <c r="J997" s="20"/>
    </row>
    <row r="998">
      <c r="A998" s="18"/>
      <c r="B998" s="18"/>
      <c r="C998" s="18"/>
      <c r="D998" s="19"/>
      <c r="F998" s="20"/>
      <c r="J998" s="20"/>
    </row>
    <row r="999">
      <c r="D999" s="20"/>
      <c r="F999" s="20"/>
      <c r="J999" s="20"/>
    </row>
    <row r="1000">
      <c r="D1000" s="20"/>
      <c r="F1000" s="20"/>
      <c r="J1000" s="20"/>
    </row>
  </sheetData>
  <autoFilter ref="$A$1:$AB$105">
    <sortState ref="A1:AB105">
      <sortCondition ref="A1:A105"/>
      <sortCondition ref="D1:D105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25.5"/>
  </cols>
  <sheetData>
    <row r="1">
      <c r="A1" s="12" t="s">
        <v>0</v>
      </c>
      <c r="B1" s="13" t="s">
        <v>7</v>
      </c>
    </row>
    <row r="2">
      <c r="A2" s="18" t="s">
        <v>10</v>
      </c>
      <c r="B2" s="19">
        <v>26.0</v>
      </c>
    </row>
    <row r="3">
      <c r="A3" s="18" t="s">
        <v>16</v>
      </c>
      <c r="B3" s="19">
        <v>33.0</v>
      </c>
    </row>
    <row r="4">
      <c r="A4" s="18" t="s">
        <v>20</v>
      </c>
      <c r="B4" s="19">
        <v>98.0</v>
      </c>
    </row>
    <row r="5">
      <c r="A5" s="18" t="s">
        <v>24</v>
      </c>
      <c r="B5" s="19">
        <v>18.0</v>
      </c>
    </row>
    <row r="6">
      <c r="A6" s="18" t="s">
        <v>447</v>
      </c>
      <c r="B6" s="19">
        <v>4.0</v>
      </c>
    </row>
    <row r="7">
      <c r="A7" s="18" t="s">
        <v>33</v>
      </c>
      <c r="B7" s="19">
        <v>5.0</v>
      </c>
    </row>
    <row r="8">
      <c r="A8" s="18" t="s">
        <v>37</v>
      </c>
      <c r="B8" s="19">
        <v>12.0</v>
      </c>
    </row>
    <row r="9">
      <c r="A9" s="18" t="s">
        <v>41</v>
      </c>
      <c r="B9" s="19">
        <v>90.0</v>
      </c>
    </row>
    <row r="10">
      <c r="A10" s="18" t="s">
        <v>45</v>
      </c>
      <c r="B10" s="19">
        <v>194.0</v>
      </c>
    </row>
    <row r="11">
      <c r="A11" s="18" t="s">
        <v>50</v>
      </c>
      <c r="B11" s="19">
        <v>64.0</v>
      </c>
    </row>
    <row r="12">
      <c r="A12" s="18" t="s">
        <v>54</v>
      </c>
      <c r="B12" s="19">
        <v>85.0</v>
      </c>
    </row>
    <row r="13">
      <c r="A13" s="18" t="s">
        <v>58</v>
      </c>
      <c r="B13" s="19">
        <v>71.0</v>
      </c>
    </row>
    <row r="14">
      <c r="A14" s="18" t="s">
        <v>62</v>
      </c>
      <c r="B14" s="19">
        <v>149.0</v>
      </c>
    </row>
    <row r="15">
      <c r="A15" s="18" t="s">
        <v>67</v>
      </c>
      <c r="B15" s="19">
        <v>194.0</v>
      </c>
    </row>
    <row r="16">
      <c r="A16" s="18" t="s">
        <v>71</v>
      </c>
      <c r="B16" s="19">
        <v>335.0</v>
      </c>
    </row>
    <row r="17">
      <c r="A17" s="18" t="s">
        <v>75</v>
      </c>
      <c r="B17" s="19">
        <v>64.0</v>
      </c>
    </row>
    <row r="18">
      <c r="A18" s="18" t="s">
        <v>79</v>
      </c>
      <c r="B18" s="19">
        <v>31.0</v>
      </c>
    </row>
    <row r="19">
      <c r="A19" s="18" t="s">
        <v>84</v>
      </c>
      <c r="B19" s="19">
        <v>80.0</v>
      </c>
    </row>
    <row r="20">
      <c r="A20" s="18" t="s">
        <v>88</v>
      </c>
      <c r="B20" s="19">
        <v>56.0</v>
      </c>
    </row>
    <row r="21">
      <c r="A21" s="18" t="s">
        <v>92</v>
      </c>
      <c r="B21" s="19">
        <v>67.0</v>
      </c>
    </row>
    <row r="22">
      <c r="A22" s="18" t="s">
        <v>96</v>
      </c>
      <c r="B22" s="19">
        <v>32.0</v>
      </c>
    </row>
    <row r="23">
      <c r="A23" s="18" t="s">
        <v>101</v>
      </c>
      <c r="B23" s="19">
        <v>18.0</v>
      </c>
    </row>
    <row r="24">
      <c r="A24" s="18" t="s">
        <v>105</v>
      </c>
      <c r="B24" s="19">
        <v>36.0</v>
      </c>
    </row>
    <row r="25">
      <c r="A25" s="18" t="s">
        <v>109</v>
      </c>
      <c r="B25" s="19">
        <v>5.0</v>
      </c>
    </row>
    <row r="26">
      <c r="A26" s="18" t="s">
        <v>113</v>
      </c>
      <c r="B26" s="19">
        <v>69.0</v>
      </c>
    </row>
    <row r="27">
      <c r="A27" s="18" t="s">
        <v>118</v>
      </c>
      <c r="B27" s="19">
        <v>26.0</v>
      </c>
    </row>
    <row r="28">
      <c r="A28" s="18" t="s">
        <v>122</v>
      </c>
      <c r="B28" s="19">
        <v>13.0</v>
      </c>
    </row>
    <row r="29">
      <c r="A29" s="18" t="s">
        <v>126</v>
      </c>
      <c r="B29" s="19">
        <v>253.0</v>
      </c>
    </row>
    <row r="30">
      <c r="A30" s="18" t="s">
        <v>338</v>
      </c>
      <c r="B30" s="19">
        <v>5.0</v>
      </c>
    </row>
    <row r="31">
      <c r="A31" s="18" t="s">
        <v>135</v>
      </c>
      <c r="B31" s="19">
        <v>106.0</v>
      </c>
    </row>
    <row r="32">
      <c r="A32" s="18" t="s">
        <v>139</v>
      </c>
      <c r="B32" s="19">
        <v>80.0</v>
      </c>
    </row>
    <row r="33">
      <c r="A33" s="18" t="s">
        <v>143</v>
      </c>
      <c r="B33" s="19">
        <v>30.0</v>
      </c>
    </row>
    <row r="34">
      <c r="A34" s="18" t="s">
        <v>147</v>
      </c>
      <c r="B34" s="19">
        <v>61.0</v>
      </c>
    </row>
    <row r="35">
      <c r="A35" s="18" t="s">
        <v>152</v>
      </c>
      <c r="B35" s="19">
        <v>84.0</v>
      </c>
    </row>
    <row r="36">
      <c r="A36" s="18" t="s">
        <v>156</v>
      </c>
      <c r="B36" s="19">
        <v>74.0</v>
      </c>
    </row>
    <row r="37">
      <c r="A37" s="18" t="s">
        <v>160</v>
      </c>
      <c r="B37" s="19">
        <v>248.0</v>
      </c>
    </row>
    <row r="38">
      <c r="A38" s="18" t="s">
        <v>164</v>
      </c>
      <c r="B38" s="19">
        <v>50.0</v>
      </c>
    </row>
    <row r="39">
      <c r="A39" s="18" t="s">
        <v>342</v>
      </c>
      <c r="B39" s="19">
        <v>5.0</v>
      </c>
    </row>
    <row r="40">
      <c r="A40" s="18" t="s">
        <v>173</v>
      </c>
      <c r="B40" s="19">
        <v>54.0</v>
      </c>
    </row>
    <row r="41">
      <c r="A41" s="18" t="s">
        <v>177</v>
      </c>
      <c r="B41" s="19">
        <v>18.0</v>
      </c>
    </row>
    <row r="42">
      <c r="A42" s="18" t="s">
        <v>181</v>
      </c>
      <c r="B42" s="19">
        <v>12.0</v>
      </c>
    </row>
    <row r="43">
      <c r="A43" s="18" t="s">
        <v>186</v>
      </c>
      <c r="B43" s="19">
        <v>38.0</v>
      </c>
    </row>
    <row r="44">
      <c r="A44" s="18" t="s">
        <v>190</v>
      </c>
      <c r="B44" s="19">
        <v>21.0</v>
      </c>
    </row>
    <row r="45">
      <c r="A45" s="18" t="s">
        <v>443</v>
      </c>
      <c r="B45" s="19">
        <v>5.0</v>
      </c>
    </row>
    <row r="46">
      <c r="A46" s="18" t="s">
        <v>198</v>
      </c>
      <c r="B46" s="19">
        <v>27.0</v>
      </c>
    </row>
    <row r="47">
      <c r="A47" s="18" t="s">
        <v>203</v>
      </c>
      <c r="B47" s="19">
        <v>14.0</v>
      </c>
    </row>
    <row r="48">
      <c r="A48" s="18" t="s">
        <v>207</v>
      </c>
      <c r="B48" s="19">
        <v>18.0</v>
      </c>
    </row>
    <row r="49">
      <c r="A49" s="18" t="s">
        <v>211</v>
      </c>
      <c r="B49" s="19">
        <v>38.0</v>
      </c>
    </row>
    <row r="50">
      <c r="A50" s="18" t="s">
        <v>215</v>
      </c>
      <c r="B50" s="19">
        <v>13.0</v>
      </c>
    </row>
    <row r="51">
      <c r="A51" s="18" t="s">
        <v>220</v>
      </c>
      <c r="B51" s="19">
        <v>34.0</v>
      </c>
    </row>
    <row r="52">
      <c r="A52" s="18" t="s">
        <v>224</v>
      </c>
      <c r="B52" s="19">
        <v>11.0</v>
      </c>
    </row>
    <row r="53">
      <c r="A53" s="18" t="s">
        <v>228</v>
      </c>
      <c r="B53" s="19">
        <v>15.0</v>
      </c>
    </row>
    <row r="54">
      <c r="A54" s="18" t="s">
        <v>232</v>
      </c>
      <c r="B54" s="19">
        <v>50.0</v>
      </c>
    </row>
    <row r="55">
      <c r="A55" s="18" t="s">
        <v>237</v>
      </c>
      <c r="B55" s="19">
        <v>24.0</v>
      </c>
    </row>
    <row r="56">
      <c r="A56" s="18" t="s">
        <v>241</v>
      </c>
      <c r="B56" s="19">
        <v>72.0</v>
      </c>
    </row>
    <row r="57">
      <c r="A57" s="18" t="s">
        <v>245</v>
      </c>
      <c r="B57" s="19">
        <v>56.0</v>
      </c>
    </row>
    <row r="58">
      <c r="A58" s="18" t="s">
        <v>249</v>
      </c>
      <c r="B58" s="19">
        <v>18.0</v>
      </c>
    </row>
    <row r="59">
      <c r="A59" s="18" t="s">
        <v>254</v>
      </c>
      <c r="B59" s="19">
        <v>18.0</v>
      </c>
    </row>
    <row r="60">
      <c r="A60" s="18" t="s">
        <v>258</v>
      </c>
      <c r="B60" s="19">
        <v>11.0</v>
      </c>
    </row>
    <row r="61">
      <c r="A61" s="18" t="s">
        <v>262</v>
      </c>
      <c r="B61" s="19">
        <v>11.0</v>
      </c>
    </row>
    <row r="62">
      <c r="A62" s="18" t="s">
        <v>266</v>
      </c>
      <c r="B62" s="19">
        <v>39.0</v>
      </c>
    </row>
    <row r="63">
      <c r="A63" s="18" t="s">
        <v>271</v>
      </c>
      <c r="B63" s="19">
        <v>31.0</v>
      </c>
    </row>
    <row r="64">
      <c r="A64" s="18" t="s">
        <v>275</v>
      </c>
      <c r="B64" s="19">
        <v>26.0</v>
      </c>
    </row>
    <row r="65">
      <c r="A65" s="18" t="s">
        <v>279</v>
      </c>
      <c r="B65" s="19">
        <v>64.0</v>
      </c>
    </row>
    <row r="66">
      <c r="A66" s="18" t="s">
        <v>283</v>
      </c>
      <c r="B66" s="19">
        <v>22.0</v>
      </c>
    </row>
    <row r="67">
      <c r="A67" s="18" t="s">
        <v>288</v>
      </c>
      <c r="B67" s="19">
        <v>21.0</v>
      </c>
    </row>
    <row r="68">
      <c r="A68" s="18" t="s">
        <v>292</v>
      </c>
      <c r="B68" s="19">
        <v>11.0</v>
      </c>
    </row>
    <row r="69">
      <c r="A69" s="18" t="s">
        <v>296</v>
      </c>
      <c r="B69" s="19">
        <v>21.0</v>
      </c>
    </row>
    <row r="70">
      <c r="A70" s="18" t="s">
        <v>28</v>
      </c>
      <c r="B70" s="19">
        <v>6.0</v>
      </c>
    </row>
    <row r="71">
      <c r="A71" s="18" t="s">
        <v>305</v>
      </c>
      <c r="B71" s="19">
        <v>14.0</v>
      </c>
    </row>
    <row r="72">
      <c r="A72" s="18" t="s">
        <v>309</v>
      </c>
      <c r="B72" s="19">
        <v>34.0</v>
      </c>
    </row>
    <row r="73">
      <c r="A73" s="18" t="s">
        <v>313</v>
      </c>
      <c r="B73" s="19">
        <v>19.0</v>
      </c>
    </row>
    <row r="74">
      <c r="A74" s="18" t="s">
        <v>317</v>
      </c>
      <c r="B74" s="19">
        <v>20.0</v>
      </c>
    </row>
    <row r="75">
      <c r="A75" s="18" t="s">
        <v>322</v>
      </c>
      <c r="B75" s="19">
        <v>21.0</v>
      </c>
    </row>
    <row r="76">
      <c r="A76" s="18" t="s">
        <v>130</v>
      </c>
      <c r="B76" s="19">
        <v>6.0</v>
      </c>
    </row>
    <row r="77">
      <c r="A77" s="18" t="s">
        <v>194</v>
      </c>
      <c r="B77" s="19">
        <v>7.0</v>
      </c>
    </row>
    <row r="78">
      <c r="A78" s="18" t="s">
        <v>333</v>
      </c>
      <c r="B78" s="19">
        <v>38.0</v>
      </c>
    </row>
    <row r="79">
      <c r="A79" s="18" t="s">
        <v>326</v>
      </c>
      <c r="B79" s="19">
        <v>7.0</v>
      </c>
    </row>
    <row r="80">
      <c r="A80" s="18" t="s">
        <v>330</v>
      </c>
      <c r="B80" s="19">
        <v>7.0</v>
      </c>
    </row>
    <row r="81">
      <c r="A81" s="18" t="s">
        <v>345</v>
      </c>
      <c r="B81" s="19">
        <v>21.0</v>
      </c>
    </row>
    <row r="82">
      <c r="A82" s="18" t="s">
        <v>349</v>
      </c>
      <c r="B82" s="19">
        <v>126.0</v>
      </c>
    </row>
    <row r="83">
      <c r="A83" s="18" t="s">
        <v>354</v>
      </c>
      <c r="B83" s="19">
        <v>18.0</v>
      </c>
    </row>
    <row r="84">
      <c r="A84" s="18" t="s">
        <v>358</v>
      </c>
      <c r="B84" s="19">
        <v>12.0</v>
      </c>
    </row>
    <row r="85">
      <c r="A85" s="18" t="s">
        <v>362</v>
      </c>
      <c r="B85" s="19">
        <v>59.0</v>
      </c>
    </row>
    <row r="86">
      <c r="A86" s="18" t="s">
        <v>169</v>
      </c>
      <c r="B86" s="19">
        <v>8.0</v>
      </c>
    </row>
    <row r="87">
      <c r="A87" s="18" t="s">
        <v>371</v>
      </c>
      <c r="B87" s="19">
        <v>142.0</v>
      </c>
    </row>
    <row r="88">
      <c r="A88" s="18" t="s">
        <v>375</v>
      </c>
      <c r="B88" s="19">
        <v>16.0</v>
      </c>
    </row>
    <row r="89">
      <c r="A89" s="18" t="s">
        <v>379</v>
      </c>
      <c r="B89" s="19">
        <v>102.0</v>
      </c>
    </row>
    <row r="90">
      <c r="A90" s="18" t="s">
        <v>383</v>
      </c>
      <c r="B90" s="19">
        <v>89.0</v>
      </c>
    </row>
    <row r="91">
      <c r="A91" s="18" t="s">
        <v>388</v>
      </c>
      <c r="B91" s="19">
        <v>93.0</v>
      </c>
    </row>
    <row r="92">
      <c r="A92" s="18" t="s">
        <v>392</v>
      </c>
      <c r="B92" s="19">
        <v>22.0</v>
      </c>
    </row>
    <row r="93">
      <c r="A93" s="18" t="s">
        <v>396</v>
      </c>
      <c r="B93" s="19">
        <v>31.0</v>
      </c>
    </row>
    <row r="94">
      <c r="A94" s="18" t="s">
        <v>400</v>
      </c>
      <c r="B94" s="19">
        <v>42.0</v>
      </c>
    </row>
    <row r="95">
      <c r="A95" s="18" t="s">
        <v>405</v>
      </c>
      <c r="B95" s="19">
        <v>77.0</v>
      </c>
    </row>
    <row r="96">
      <c r="A96" s="18" t="s">
        <v>409</v>
      </c>
      <c r="B96" s="19">
        <v>112.0</v>
      </c>
    </row>
    <row r="97">
      <c r="A97" s="18" t="s">
        <v>413</v>
      </c>
      <c r="B97" s="19">
        <v>109.0</v>
      </c>
    </row>
    <row r="98">
      <c r="A98" s="18" t="s">
        <v>417</v>
      </c>
      <c r="B98" s="19">
        <v>82.0</v>
      </c>
    </row>
    <row r="99">
      <c r="A99" s="18" t="s">
        <v>422</v>
      </c>
      <c r="B99" s="19">
        <v>211.0</v>
      </c>
    </row>
    <row r="100">
      <c r="A100" s="18" t="s">
        <v>426</v>
      </c>
      <c r="B100" s="19">
        <v>62.0</v>
      </c>
    </row>
    <row r="101">
      <c r="A101" s="18" t="s">
        <v>430</v>
      </c>
      <c r="B101" s="19">
        <v>157.0</v>
      </c>
    </row>
    <row r="102">
      <c r="A102" s="18" t="s">
        <v>434</v>
      </c>
      <c r="B102" s="19">
        <v>17.0</v>
      </c>
    </row>
    <row r="103">
      <c r="A103" s="18" t="s">
        <v>439</v>
      </c>
      <c r="B103" s="19">
        <v>16.0</v>
      </c>
    </row>
    <row r="104">
      <c r="A104" s="18" t="s">
        <v>300</v>
      </c>
      <c r="B104" s="19">
        <v>9.0</v>
      </c>
    </row>
    <row r="105">
      <c r="A105" s="18" t="s">
        <v>366</v>
      </c>
      <c r="B105" s="19">
        <v>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4" t="s">
        <v>7</v>
      </c>
    </row>
    <row r="2">
      <c r="A2" s="11" t="s">
        <v>10</v>
      </c>
      <c r="B2" s="11">
        <v>8.0</v>
      </c>
    </row>
    <row r="3">
      <c r="A3" s="11" t="s">
        <v>16</v>
      </c>
      <c r="B3" s="11">
        <v>7.0</v>
      </c>
    </row>
    <row r="4">
      <c r="A4" s="11" t="s">
        <v>20</v>
      </c>
      <c r="B4" s="11">
        <v>28.0</v>
      </c>
    </row>
    <row r="5">
      <c r="A5" s="11" t="s">
        <v>24</v>
      </c>
      <c r="B5" s="11">
        <v>6.0</v>
      </c>
    </row>
    <row r="6">
      <c r="A6" s="11" t="s">
        <v>28</v>
      </c>
      <c r="B6" s="11">
        <v>3.0</v>
      </c>
    </row>
    <row r="7">
      <c r="A7" s="11" t="s">
        <v>33</v>
      </c>
      <c r="B7" s="11">
        <v>4.0</v>
      </c>
    </row>
    <row r="8">
      <c r="A8" s="11" t="s">
        <v>37</v>
      </c>
      <c r="B8" s="11">
        <v>3.0</v>
      </c>
    </row>
    <row r="9">
      <c r="A9" s="11" t="s">
        <v>41</v>
      </c>
      <c r="B9" s="11">
        <v>34.0</v>
      </c>
    </row>
    <row r="10">
      <c r="A10" s="11" t="s">
        <v>181</v>
      </c>
      <c r="B10" s="11">
        <v>6.0</v>
      </c>
    </row>
    <row r="11">
      <c r="A11" s="11" t="s">
        <v>186</v>
      </c>
      <c r="B11" s="11">
        <v>9.0</v>
      </c>
    </row>
    <row r="12">
      <c r="A12" s="11" t="s">
        <v>190</v>
      </c>
      <c r="B12" s="11">
        <v>8.0</v>
      </c>
    </row>
    <row r="13">
      <c r="A13" s="11" t="s">
        <v>194</v>
      </c>
      <c r="B13" s="11">
        <v>2.0</v>
      </c>
    </row>
    <row r="14">
      <c r="A14" s="11" t="s">
        <v>198</v>
      </c>
      <c r="B14" s="11">
        <v>8.0</v>
      </c>
    </row>
    <row r="15">
      <c r="A15" s="11" t="s">
        <v>203</v>
      </c>
      <c r="B15" s="11">
        <v>2.0</v>
      </c>
    </row>
    <row r="16">
      <c r="A16" s="11" t="s">
        <v>207</v>
      </c>
      <c r="B16" s="11">
        <v>4.0</v>
      </c>
    </row>
    <row r="17">
      <c r="A17" s="11" t="s">
        <v>211</v>
      </c>
      <c r="B17" s="11">
        <v>8.0</v>
      </c>
    </row>
    <row r="18">
      <c r="A18" s="11" t="s">
        <v>215</v>
      </c>
      <c r="B18" s="11">
        <v>5.0</v>
      </c>
    </row>
    <row r="19">
      <c r="A19" s="11" t="s">
        <v>220</v>
      </c>
      <c r="B19" s="11">
        <v>11.0</v>
      </c>
    </row>
    <row r="20">
      <c r="A20" s="11" t="s">
        <v>224</v>
      </c>
      <c r="B20" s="11">
        <v>3.0</v>
      </c>
    </row>
    <row r="21">
      <c r="A21" s="11" t="s">
        <v>228</v>
      </c>
      <c r="B21" s="11">
        <v>4.0</v>
      </c>
    </row>
    <row r="22">
      <c r="A22" s="11" t="s">
        <v>232</v>
      </c>
      <c r="B22" s="11">
        <v>13.0</v>
      </c>
    </row>
    <row r="23">
      <c r="A23" s="11" t="s">
        <v>237</v>
      </c>
      <c r="B23" s="11">
        <v>7.0</v>
      </c>
    </row>
    <row r="24">
      <c r="A24" s="11" t="s">
        <v>241</v>
      </c>
      <c r="B24" s="11">
        <v>22.0</v>
      </c>
    </row>
    <row r="25">
      <c r="A25" s="11" t="s">
        <v>245</v>
      </c>
      <c r="B25" s="11">
        <v>20.0</v>
      </c>
    </row>
    <row r="26">
      <c r="A26" s="11" t="s">
        <v>45</v>
      </c>
      <c r="B26" s="11">
        <v>32.0</v>
      </c>
    </row>
    <row r="27">
      <c r="A27" s="11" t="s">
        <v>50</v>
      </c>
      <c r="B27" s="11">
        <v>15.0</v>
      </c>
    </row>
    <row r="28">
      <c r="A28" s="11" t="s">
        <v>54</v>
      </c>
      <c r="B28" s="11">
        <v>18.0</v>
      </c>
    </row>
    <row r="29">
      <c r="A29" s="11" t="s">
        <v>58</v>
      </c>
      <c r="B29" s="11">
        <v>13.0</v>
      </c>
    </row>
    <row r="30">
      <c r="A30" s="11" t="s">
        <v>249</v>
      </c>
      <c r="B30" s="11">
        <v>7.0</v>
      </c>
    </row>
    <row r="31">
      <c r="A31" s="11" t="s">
        <v>254</v>
      </c>
      <c r="B31" s="11">
        <v>6.0</v>
      </c>
    </row>
    <row r="32">
      <c r="A32" s="11" t="s">
        <v>258</v>
      </c>
      <c r="B32" s="11">
        <v>3.0</v>
      </c>
    </row>
    <row r="33">
      <c r="A33" s="11" t="s">
        <v>262</v>
      </c>
      <c r="B33" s="11">
        <v>3.0</v>
      </c>
    </row>
    <row r="34">
      <c r="A34" s="11" t="s">
        <v>266</v>
      </c>
      <c r="B34" s="11">
        <v>6.0</v>
      </c>
    </row>
    <row r="35">
      <c r="A35" s="11" t="s">
        <v>271</v>
      </c>
      <c r="B35" s="11">
        <v>6.0</v>
      </c>
    </row>
    <row r="36">
      <c r="A36" s="11" t="s">
        <v>275</v>
      </c>
      <c r="B36" s="11">
        <v>8.0</v>
      </c>
    </row>
    <row r="37">
      <c r="A37" s="11" t="s">
        <v>279</v>
      </c>
      <c r="B37" s="11">
        <v>11.0</v>
      </c>
    </row>
    <row r="38">
      <c r="A38" s="11" t="s">
        <v>62</v>
      </c>
      <c r="B38" s="11">
        <v>42.0</v>
      </c>
    </row>
    <row r="39">
      <c r="A39" s="11" t="s">
        <v>67</v>
      </c>
      <c r="B39" s="11">
        <v>44.0</v>
      </c>
    </row>
    <row r="40">
      <c r="A40" s="11" t="s">
        <v>71</v>
      </c>
      <c r="B40" s="11">
        <v>45.0</v>
      </c>
    </row>
    <row r="41">
      <c r="A41" s="11" t="s">
        <v>75</v>
      </c>
      <c r="B41" s="11">
        <v>16.0</v>
      </c>
    </row>
    <row r="42">
      <c r="A42" s="11" t="s">
        <v>283</v>
      </c>
      <c r="B42" s="11">
        <v>6.0</v>
      </c>
    </row>
    <row r="43">
      <c r="A43" s="11" t="s">
        <v>288</v>
      </c>
      <c r="B43" s="11">
        <v>5.0</v>
      </c>
    </row>
    <row r="44">
      <c r="A44" s="11" t="s">
        <v>292</v>
      </c>
      <c r="B44" s="11">
        <v>2.0</v>
      </c>
    </row>
    <row r="45">
      <c r="A45" s="11" t="s">
        <v>296</v>
      </c>
      <c r="B45" s="11">
        <v>5.0</v>
      </c>
    </row>
    <row r="46">
      <c r="A46" s="11" t="s">
        <v>79</v>
      </c>
      <c r="B46" s="11">
        <v>8.0</v>
      </c>
    </row>
    <row r="47">
      <c r="A47" s="11" t="s">
        <v>84</v>
      </c>
      <c r="B47" s="11">
        <v>20.0</v>
      </c>
    </row>
    <row r="48">
      <c r="A48" s="11" t="s">
        <v>88</v>
      </c>
      <c r="B48" s="11">
        <v>10.0</v>
      </c>
    </row>
    <row r="49">
      <c r="A49" s="11" t="s">
        <v>92</v>
      </c>
      <c r="B49" s="11">
        <v>18.0</v>
      </c>
    </row>
    <row r="50">
      <c r="A50" s="11" t="s">
        <v>96</v>
      </c>
      <c r="B50" s="11">
        <v>9.0</v>
      </c>
    </row>
    <row r="51">
      <c r="A51" s="11" t="s">
        <v>101</v>
      </c>
      <c r="B51" s="11">
        <v>4.0</v>
      </c>
    </row>
    <row r="52">
      <c r="A52" s="11" t="s">
        <v>105</v>
      </c>
      <c r="B52" s="11">
        <v>9.0</v>
      </c>
    </row>
    <row r="53">
      <c r="A53" s="11" t="s">
        <v>109</v>
      </c>
      <c r="B53" s="11">
        <v>2.0</v>
      </c>
    </row>
    <row r="54">
      <c r="A54" s="11" t="s">
        <v>300</v>
      </c>
      <c r="B54" s="11">
        <v>4.0</v>
      </c>
    </row>
    <row r="55">
      <c r="A55" s="11" t="s">
        <v>305</v>
      </c>
      <c r="B55" s="11">
        <v>4.0</v>
      </c>
    </row>
    <row r="56">
      <c r="A56" s="11" t="s">
        <v>309</v>
      </c>
      <c r="B56" s="11">
        <v>8.0</v>
      </c>
    </row>
    <row r="57">
      <c r="A57" s="11" t="s">
        <v>313</v>
      </c>
      <c r="B57" s="11">
        <v>6.0</v>
      </c>
    </row>
    <row r="58">
      <c r="A58" s="11" t="s">
        <v>317</v>
      </c>
      <c r="B58" s="11">
        <v>4.0</v>
      </c>
    </row>
    <row r="59">
      <c r="A59" s="11" t="s">
        <v>322</v>
      </c>
      <c r="B59" s="11">
        <v>4.0</v>
      </c>
    </row>
    <row r="60">
      <c r="A60" s="11" t="s">
        <v>326</v>
      </c>
      <c r="B60" s="11">
        <v>2.0</v>
      </c>
    </row>
    <row r="61">
      <c r="A61" s="11" t="s">
        <v>330</v>
      </c>
      <c r="B61" s="11">
        <v>2.0</v>
      </c>
    </row>
    <row r="62">
      <c r="A62" s="11" t="s">
        <v>113</v>
      </c>
      <c r="B62" s="11">
        <v>11.0</v>
      </c>
    </row>
    <row r="63">
      <c r="A63" s="11" t="s">
        <v>118</v>
      </c>
      <c r="B63" s="11">
        <v>6.0</v>
      </c>
    </row>
    <row r="64">
      <c r="A64" s="11" t="s">
        <v>122</v>
      </c>
      <c r="B64" s="11">
        <v>4.0</v>
      </c>
    </row>
    <row r="65">
      <c r="A65" s="11" t="s">
        <v>126</v>
      </c>
      <c r="B65" s="11">
        <v>49.0</v>
      </c>
    </row>
    <row r="66">
      <c r="A66" s="11" t="s">
        <v>333</v>
      </c>
      <c r="B66" s="11">
        <v>18.0</v>
      </c>
    </row>
    <row r="67">
      <c r="A67" s="11" t="s">
        <v>338</v>
      </c>
      <c r="B67" s="11">
        <v>2.0</v>
      </c>
    </row>
    <row r="68">
      <c r="A68" s="11" t="s">
        <v>342</v>
      </c>
      <c r="B68" s="11">
        <v>2.0</v>
      </c>
    </row>
    <row r="69">
      <c r="A69" s="11" t="s">
        <v>345</v>
      </c>
      <c r="B69" s="11">
        <v>8.0</v>
      </c>
    </row>
    <row r="70">
      <c r="A70" s="11" t="s">
        <v>349</v>
      </c>
      <c r="B70" s="11">
        <v>24.0</v>
      </c>
    </row>
    <row r="71">
      <c r="A71" s="11" t="s">
        <v>354</v>
      </c>
      <c r="B71" s="11">
        <v>6.0</v>
      </c>
    </row>
    <row r="72">
      <c r="A72" s="11" t="s">
        <v>358</v>
      </c>
      <c r="B72" s="11">
        <v>6.0</v>
      </c>
    </row>
    <row r="73">
      <c r="A73" s="11" t="s">
        <v>362</v>
      </c>
      <c r="B73" s="11">
        <v>12.0</v>
      </c>
    </row>
    <row r="74">
      <c r="A74" s="11" t="s">
        <v>130</v>
      </c>
      <c r="B74" s="11">
        <v>3.0</v>
      </c>
    </row>
    <row r="75">
      <c r="A75" s="11" t="s">
        <v>135</v>
      </c>
      <c r="B75" s="11">
        <v>28.0</v>
      </c>
    </row>
    <row r="76">
      <c r="A76" s="11" t="s">
        <v>139</v>
      </c>
      <c r="B76" s="11">
        <v>25.0</v>
      </c>
    </row>
    <row r="77">
      <c r="A77" s="11" t="s">
        <v>143</v>
      </c>
      <c r="B77" s="11">
        <v>9.0</v>
      </c>
    </row>
    <row r="78">
      <c r="A78" s="11" t="s">
        <v>366</v>
      </c>
      <c r="B78" s="11">
        <v>3.0</v>
      </c>
    </row>
    <row r="79">
      <c r="A79" s="11" t="s">
        <v>371</v>
      </c>
      <c r="B79" s="11">
        <v>32.0</v>
      </c>
    </row>
    <row r="80">
      <c r="A80" s="11" t="s">
        <v>375</v>
      </c>
      <c r="B80" s="11">
        <v>6.0</v>
      </c>
    </row>
    <row r="81">
      <c r="A81" s="11" t="s">
        <v>379</v>
      </c>
      <c r="B81" s="11">
        <v>34.0</v>
      </c>
    </row>
    <row r="82">
      <c r="A82" s="11" t="s">
        <v>383</v>
      </c>
      <c r="B82" s="11">
        <v>24.0</v>
      </c>
    </row>
    <row r="83">
      <c r="A83" s="11" t="s">
        <v>388</v>
      </c>
      <c r="B83" s="11">
        <v>46.0</v>
      </c>
    </row>
    <row r="84">
      <c r="A84" s="11" t="s">
        <v>392</v>
      </c>
      <c r="B84" s="11">
        <v>7.0</v>
      </c>
    </row>
    <row r="85">
      <c r="A85" s="11" t="s">
        <v>396</v>
      </c>
      <c r="B85" s="11">
        <v>8.0</v>
      </c>
    </row>
    <row r="86">
      <c r="A86" s="11" t="s">
        <v>147</v>
      </c>
      <c r="B86" s="11">
        <v>13.0</v>
      </c>
    </row>
    <row r="87">
      <c r="A87" s="11" t="s">
        <v>152</v>
      </c>
      <c r="B87" s="11">
        <v>14.0</v>
      </c>
    </row>
    <row r="88">
      <c r="A88" s="11" t="s">
        <v>156</v>
      </c>
      <c r="B88" s="11">
        <v>11.0</v>
      </c>
    </row>
    <row r="89">
      <c r="A89" s="11" t="s">
        <v>160</v>
      </c>
      <c r="B89" s="11">
        <v>49.0</v>
      </c>
    </row>
    <row r="90">
      <c r="A90" s="11" t="s">
        <v>400</v>
      </c>
      <c r="B90" s="11">
        <v>11.0</v>
      </c>
    </row>
    <row r="91">
      <c r="A91" s="11" t="s">
        <v>405</v>
      </c>
      <c r="B91" s="11">
        <v>26.0</v>
      </c>
    </row>
    <row r="92">
      <c r="A92" s="11" t="s">
        <v>409</v>
      </c>
      <c r="B92" s="11">
        <v>22.0</v>
      </c>
    </row>
    <row r="93">
      <c r="A93" s="11" t="s">
        <v>413</v>
      </c>
      <c r="B93" s="11">
        <v>19.0</v>
      </c>
    </row>
    <row r="94">
      <c r="A94" s="11" t="s">
        <v>164</v>
      </c>
      <c r="B94" s="11">
        <v>8.0</v>
      </c>
    </row>
    <row r="95">
      <c r="A95" s="11" t="s">
        <v>169</v>
      </c>
      <c r="B95" s="11">
        <v>3.0</v>
      </c>
    </row>
    <row r="96">
      <c r="A96" s="11" t="s">
        <v>173</v>
      </c>
      <c r="B96" s="11">
        <v>10.0</v>
      </c>
    </row>
    <row r="97">
      <c r="A97" s="11" t="s">
        <v>177</v>
      </c>
      <c r="B97" s="11">
        <v>6.0</v>
      </c>
    </row>
    <row r="98">
      <c r="A98" s="11" t="s">
        <v>417</v>
      </c>
      <c r="B98" s="11">
        <v>20.0</v>
      </c>
    </row>
    <row r="99">
      <c r="A99" s="11" t="s">
        <v>422</v>
      </c>
      <c r="B99" s="11">
        <v>59.0</v>
      </c>
    </row>
    <row r="100">
      <c r="A100" s="11" t="s">
        <v>426</v>
      </c>
      <c r="B100" s="11">
        <v>27.0</v>
      </c>
    </row>
    <row r="101">
      <c r="A101" s="11" t="s">
        <v>430</v>
      </c>
      <c r="B101" s="11">
        <v>36.0</v>
      </c>
    </row>
    <row r="102">
      <c r="A102" s="11" t="s">
        <v>434</v>
      </c>
      <c r="B102" s="11">
        <v>5.0</v>
      </c>
    </row>
    <row r="103">
      <c r="A103" s="11" t="s">
        <v>439</v>
      </c>
      <c r="B103" s="11">
        <v>3.0</v>
      </c>
    </row>
    <row r="104">
      <c r="A104" s="11" t="s">
        <v>443</v>
      </c>
      <c r="B104" s="11">
        <v>2.0</v>
      </c>
    </row>
    <row r="105">
      <c r="A105" s="11" t="s">
        <v>447</v>
      </c>
      <c r="B105" s="11">
        <v>3.0</v>
      </c>
    </row>
  </sheetData>
  <drawing r:id="rId1"/>
</worksheet>
</file>